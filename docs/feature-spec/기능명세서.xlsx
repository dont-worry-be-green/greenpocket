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ktop\greenpocket\.tmp\xlsx-merge\"/>
    </mc:Choice>
  </mc:AlternateContent>
  <xr:revisionPtr revIDLastSave="0" documentId="13_ncr:1_{EA3F3EC1-5901-41EB-B93E-A434F528D8F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개요" sheetId="1" r:id="rId1"/>
    <sheet name="기능명세" sheetId="2" r:id="rId2"/>
    <sheet name="결정 사항" sheetId="3" r:id="rId3"/>
    <sheet name="화면 목록" sheetId="4" r:id="rId4"/>
    <sheet name="MVP 컷라인" sheetId="5" r:id="rId5"/>
    <sheet name="비즈니스 규칙·계산식" sheetId="6" r:id="rId6"/>
    <sheet name="확인 필요 사항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1" l="1"/>
  <c r="C48" i="1"/>
  <c r="B48" i="1"/>
  <c r="E48" i="1" s="1"/>
  <c r="D47" i="1"/>
  <c r="C47" i="1"/>
  <c r="B47" i="1"/>
  <c r="E47" i="1" s="1"/>
  <c r="D46" i="1"/>
  <c r="C46" i="1"/>
  <c r="B46" i="1"/>
  <c r="E46" i="1" s="1"/>
  <c r="D45" i="1"/>
  <c r="C45" i="1"/>
  <c r="B45" i="1"/>
  <c r="E45" i="1" s="1"/>
  <c r="D44" i="1"/>
  <c r="C44" i="1"/>
  <c r="B44" i="1"/>
  <c r="D43" i="1"/>
  <c r="C43" i="1"/>
  <c r="B43" i="1"/>
  <c r="D42" i="1"/>
  <c r="C42" i="1"/>
  <c r="C49" i="1" s="1"/>
  <c r="B42" i="1"/>
  <c r="G36" i="1"/>
  <c r="F36" i="1"/>
  <c r="D36" i="1"/>
  <c r="C36" i="1"/>
  <c r="B36" i="1"/>
  <c r="G35" i="1"/>
  <c r="F35" i="1"/>
  <c r="D35" i="1"/>
  <c r="C35" i="1"/>
  <c r="B35" i="1"/>
  <c r="E35" i="1" s="1"/>
  <c r="G34" i="1"/>
  <c r="F34" i="1"/>
  <c r="D34" i="1"/>
  <c r="C34" i="1"/>
  <c r="B34" i="1"/>
  <c r="G33" i="1"/>
  <c r="F33" i="1"/>
  <c r="D33" i="1"/>
  <c r="C33" i="1"/>
  <c r="B33" i="1"/>
  <c r="E33" i="1" s="1"/>
  <c r="G32" i="1"/>
  <c r="F32" i="1"/>
  <c r="D32" i="1"/>
  <c r="C32" i="1"/>
  <c r="B32" i="1"/>
  <c r="G31" i="1"/>
  <c r="G37" i="1" s="1"/>
  <c r="F31" i="1"/>
  <c r="D31" i="1"/>
  <c r="C31" i="1"/>
  <c r="B31" i="1"/>
  <c r="E32" i="1" l="1"/>
  <c r="E44" i="1"/>
  <c r="E36" i="1"/>
  <c r="E34" i="1"/>
  <c r="B49" i="1"/>
  <c r="C37" i="1"/>
  <c r="D49" i="1"/>
  <c r="D37" i="1"/>
  <c r="E43" i="1"/>
  <c r="B37" i="1"/>
  <c r="F37" i="1"/>
  <c r="E42" i="1"/>
  <c r="E49" i="1" s="1"/>
  <c r="E31" i="1"/>
  <c r="E37" i="1" s="1"/>
</calcChain>
</file>

<file path=xl/sharedStrings.xml><?xml version="1.0" encoding="utf-8"?>
<sst xmlns="http://schemas.openxmlformats.org/spreadsheetml/2006/main" count="2081" uniqueCount="1210">
  <si>
    <t>그린포켓 기능명세서 ver3.2</t>
  </si>
  <si>
    <t>문서 기준일</t>
  </si>
  <si>
    <t>2026-09-08 (결정 C-1~C-20 반영)</t>
  </si>
  <si>
    <t>참가팀</t>
  </si>
  <si>
    <t>돈워리, 비그린 (Don't worry, be green)</t>
  </si>
  <si>
    <t>병합 원본</t>
  </si>
  <si>
    <t>기존 105건 + JWT 회원 인증 4건 = 총 109건</t>
  </si>
  <si>
    <t>관련 문서</t>
  </si>
  <si>
    <t>기능명세서.xlsx · 기능명세서.md · api-spec.md · schema.sql 동기화</t>
  </si>
  <si>
    <t>하단 탭</t>
  </si>
  <si>
    <t>진단 · 혜택 · What-if · 포켓 · 마이페이지 (What-if 탭이 홈 역할)</t>
  </si>
  <si>
    <t>핵심 시연 흐름</t>
  </si>
  <si>
    <t>이메일 가입·로그인 → 주거 프로필 → 고지서 등록·진단 → 에코마일리지 What-if → 실천·리포트 → 마일리지 → 포켓</t>
  </si>
  <si>
    <t>ver2 → ver3 주요 변경</t>
  </si>
  <si>
    <t>병합</t>
  </si>
  <si>
    <t>팀원(아영) 정리본 66건을 대조해 세부 규칙 24건을 흡수했다. 컬럼 4개(수행 주체·데이터 항목·선행 조건·예외 처리)를 추가하고, 관련 화면을 시안 파일명에서 화면 ID(ONB-01 ~ MY-04)로 바꿨다.</t>
  </si>
  <si>
    <t>결정 반영 A</t>
  </si>
  <si>
    <t>이메일·비밀번호 + JWT 인증. X-Demo-Key는 개발·시연 프로필에서만 유지</t>
  </si>
  <si>
    <t>결정 반영 B</t>
  </si>
  <si>
    <t>B-1 온보딩 03 청년 조건(나이·소득·취업) 화면 삭제 — ver2 A-1-04 삭제, 온보딩은 이름 → 주거 프로필 2화면. B-2 탭명 통일. B-3 디자인 통일은 구현 단계에서 FE 2인. B-4 포켓 빈 화면 문구 수정.</t>
  </si>
  <si>
    <t>규칙 교체</t>
  </si>
  <si>
    <t>고지서 대상 월 = "아직 등록하지 않은 최근 고지 월"(A-2-01). 리포트 보관함 = 월별 리포트(진단 스냅샷) + ECO 리포트(What-if 전달 리포트·평가 결과)(E-2-01).</t>
  </si>
  <si>
    <t>삭제</t>
  </si>
  <si>
    <t>COM-03 온보딩 진행 표시(2단계 → 1단계라 불필요), A-1-04 청년 조건 입력, E-2-03 ECO 리포트(E-2-01에 정의 흡수). ID는 ver2와 동일하게 유지하고 삭제 번호는 결번 처리.</t>
  </si>
  <si>
    <t>추가</t>
  </si>
  <si>
    <t>D-3-06 출금 계좌 본인확인(P2).</t>
  </si>
  <si>
    <t>범례</t>
  </si>
  <si>
    <t>우선순위</t>
  </si>
  <si>
    <t>P0</t>
  </si>
  <si>
    <t>MVP 필수 — 핵심 시연 흐름. 발표 환경에서 실제로 동작해야 한다</t>
  </si>
  <si>
    <t>P1</t>
  </si>
  <si>
    <t>MVP 권장 — P0 안정화 후 구현. 시연에서 대체 가능</t>
  </si>
  <si>
    <t>P2</t>
  </si>
  <si>
    <t>후속 확장 — 해커톤에서는 목업·확장 계획으로만 제시</t>
  </si>
  <si>
    <t>구분</t>
  </si>
  <si>
    <t>개발</t>
  </si>
  <si>
    <t>FE 또는 BE 코드 구현이 필요한 항목</t>
  </si>
  <si>
    <t>비개발</t>
  </si>
  <si>
    <t>코드 없이 완료되는 항목 — 데이터 수집·가공, 콘텐츠·문구, 디자인 규칙, 외부 확인·운영 결정</t>
  </si>
  <si>
    <t>수행 주체</t>
  </si>
  <si>
    <t>사용자 / 시스템</t>
  </si>
  <si>
    <t>조작이 있는 기능 / 자동 처리·표시</t>
  </si>
  <si>
    <t>영역</t>
  </si>
  <si>
    <t>FE / BE / FE·BE / 데이터 / 콘텐츠 / 디자인 / 운영</t>
  </si>
  <si>
    <t>개발 항목의 담당 파트, 비개발 항목의 성격</t>
  </si>
  <si>
    <t>요약 — 대기능 × 우선순위</t>
  </si>
  <si>
    <t>대기능</t>
  </si>
  <si>
    <t>합계</t>
  </si>
  <si>
    <t>0. 공통 기반</t>
  </si>
  <si>
    <t>A. 생활비 진단</t>
  </si>
  <si>
    <t>B. Green What-if</t>
  </si>
  <si>
    <t>C. 혜택</t>
  </si>
  <si>
    <t>D. 자립 저축</t>
  </si>
  <si>
    <t>E. 마이페이지</t>
  </si>
  <si>
    <t>※ 기능명세 시트의 우선순위·구분 값을 COUNTIFS로 집계한다. 시트를 수정하면 자동 갱신된다.</t>
  </si>
  <si>
    <t>요약 — 영역별</t>
  </si>
  <si>
    <t>FE</t>
  </si>
  <si>
    <t>BE</t>
  </si>
  <si>
    <t>FE·BE</t>
  </si>
  <si>
    <t>데이터</t>
  </si>
  <si>
    <t>콘텐츠</t>
  </si>
  <si>
    <t>디자인</t>
  </si>
  <si>
    <t>운영</t>
  </si>
  <si>
    <t>ver3.2 변경 사항</t>
  </si>
  <si>
    <t>변경 내용</t>
  </si>
  <si>
    <t>JWT 인증</t>
  </si>
  <si>
    <t>COM-13~16 회원가입·로그인·토큰 재발급·로그아웃 4건 추가</t>
  </si>
  <si>
    <t>데모 인증</t>
  </si>
  <si>
    <t>COM-01과 X-Demo-Key를 개발·시연 프로필 전용으로 한정</t>
  </si>
  <si>
    <t>미션 추천</t>
  </si>
  <si>
    <t>C-18 동일 기기군 강화 우선·부족분 추가 추천</t>
  </si>
  <si>
    <t>미션 카탈로그</t>
  </si>
  <si>
    <t>C-19 청년 실행 가능 습관 미션과 계절·목표별 노출</t>
  </si>
  <si>
    <t>목표 하향</t>
  </si>
  <si>
    <t>C-20 회복 부담 배수 1.5 또는 추천 미션 부족 시 한 단계 하향 제안</t>
  </si>
  <si>
    <t>동기화</t>
  </si>
  <si>
    <t>XLSX·Markdown·API 명세·DDL의 결정 번호와 기능 수를 통일</t>
  </si>
  <si>
    <t>ver3 → ver3.1 변경 (2026-09-03)</t>
  </si>
  <si>
    <t>경위</t>
  </si>
  <si>
    <t>API 명세서를 쓰면서 명세와 DB가 어긋나는 13곳이 드러났고, 팀이 전부 결정했다. 결정 목록은 「결정 사항」 시트 C-1~C-13.</t>
  </si>
  <si>
    <t>기능 제외</t>
  </si>
  <si>
    <t>C-1 마지막 방문 탭 복원(COM-02) · C-2 포켓 이름 변경(D-1-01·D-3-05) · C-3 고지서 수정 이력(A-2-13).</t>
  </si>
  <si>
    <t>기능 추가</t>
  </si>
  <si>
    <t>C-8 마이페이지에 에코마일리지 등록 주소(E-1-01). 프로필 주소와 별개이며 연동 시 받아 저장한다.</t>
  </si>
  <si>
    <t>수치 정정</t>
  </si>
  <si>
    <t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t>
  </si>
  <si>
    <t>확인 완료</t>
  </si>
  <si>
    <t>C-11 지역난방 미지원 확정, C-12 수도·가스 지역 평균 미확보 확정(추후) — 「확인 필요 사항」 2·4번 상태 열에 기입.</t>
  </si>
  <si>
    <t>DB</t>
  </si>
  <si>
    <t>C-4 배포용 DDL을 별도로 둔다(greenpocket_schema.sql, FK 16·UNIQUE 16·CHECK 9). ERD Cloud export는 제약을 담지 않으므로 배포에 쓰지 않는다.</t>
  </si>
  <si>
    <t>건수</t>
  </si>
  <si>
    <t>105건 유지. 기능을 지우거나 더하지 않고 규칙·데이터 항목만 고쳤다.</t>
  </si>
  <si>
    <t>No</t>
  </si>
  <si>
    <t>중기능</t>
  </si>
  <si>
    <t>ID</t>
  </si>
  <si>
    <t>세부 기능</t>
  </si>
  <si>
    <t>입력·처리 규칙</t>
  </si>
  <si>
    <t>데이터 항목</t>
  </si>
  <si>
    <t>선행 조건</t>
  </si>
  <si>
    <t>예외 처리</t>
  </si>
  <si>
    <t>출력·완료 조건</t>
  </si>
  <si>
    <t>관련 화면</t>
  </si>
  <si>
    <t>비고</t>
  </si>
  <si>
    <t>0-1. 사용자·화면 기반</t>
  </si>
  <si>
    <t>COM-01</t>
  </si>
  <si>
    <t>데모 사용자 시작(개발·시연 전용)</t>
  </si>
  <si>
    <t>사용자</t>
  </si>
  <si>
    <t>dev·demo 프로필에서만 이름과 UUID v4 데모 키로 발표용 사용자를 시작한다. 운영 프로필에는 이 경로와 X-Demo-Key 인증을 노출하지 않는다.</t>
  </si>
  <si>
    <t>name(1~20자)</t>
  </si>
  <si>
    <t>없음</t>
  </si>
  <si>
    <t>빈값·특수문자만 입력 시 오류 문구 표시, 진행 차단</t>
  </si>
  <si>
    <t>한 번의 조작으로 주거 프로필(ONB-02)에 진입한다.</t>
  </si>
  <si>
    <t>ONB-01</t>
  </si>
  <si>
    <t>운영 사용자는 COM-13·14 사용 · 결정 C-17</t>
  </si>
  <si>
    <t>COM-02</t>
  </si>
  <si>
    <t>공통 내비게이션</t>
  </si>
  <si>
    <t>시스템</t>
  </si>
  <si>
    <t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t>
  </si>
  <si>
    <t>—</t>
  </si>
  <si>
    <t>온보딩 완료</t>
  </si>
  <si>
    <t>온보딩 미완료 시 ONB-01로</t>
  </si>
  <si>
    <t>5개 탭 라벨·순서가 모든 화면에서 동일하다. 시안별 탭명(분석·홈·Green-what-if)은 위 표기로 통일한다(결정 B-2).</t>
  </si>
  <si>
    <t>전 화면</t>
  </si>
  <si>
    <t>마지막 방문 탭 복원은 만들지 않는다 — 온보딩 완료 후에는 항상 What-if 탭으로 진입한다(결정 C-1).</t>
  </si>
  <si>
    <t>COM-04</t>
  </si>
  <si>
    <t>공통 UI 규칙</t>
  </si>
  <si>
    <t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t>
  </si>
  <si>
    <t>디자인 시스템 확정</t>
  </si>
  <si>
    <t>핵심 화면의 동일 상태가 동일한 형태로 표시된다.</t>
  </si>
  <si>
    <t>규칙 정의는 비개발, 적용은 각 화면 개발에 포함</t>
  </si>
  <si>
    <t>COM-05</t>
  </si>
  <si>
    <t>외부 누리집 이동·복귀</t>
  </si>
  <si>
    <t>에코마일리지, 탄소중립포인트 녹색생활실천, 참여기업 링크는 새 창(웹뷰)으로 열고 앱 상태를 유지한다. 복귀 시 해당 연동 상태를 자동 재조회하고, 자동 조회가 실패하면 수동 새로고침 버튼을 제공한다.</t>
  </si>
  <si>
    <t>returnState, 외부 URL</t>
  </si>
  <si>
    <t>외부 브라우저 사용 가능</t>
  </si>
  <si>
    <t>복귀 후에도 상태 변화 없음 → 안내, 네트워크 오류 → 새로고침 유도</t>
  </si>
  <si>
    <t>복귀 후 이전 화면과 입력값이 유지되고 상태가 갱신된다.</t>
  </si>
  <si>
    <t>WF-01 · WF-06 · WF-11 · BN-01 · BN-03</t>
  </si>
  <si>
    <t>0-2. 공통 데이터·상태 규칙</t>
  </si>
  <si>
    <t>COM-06</t>
  </si>
  <si>
    <t>금액·증감 표기</t>
  </si>
  <si>
    <t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t>
  </si>
  <si>
    <t>동일 값이 화면마다 다르게 표시되지 않는다.</t>
  </si>
  <si>
    <t>표기 규칙은 기능정리 부록 B로 확정</t>
  </si>
  <si>
    <t>COM-07</t>
  </si>
  <si>
    <t>예상·적립·입금 상태 표시</t>
  </si>
  <si>
    <t>예상 마일리지·적립 예정 포인트는 예상 / 적립 예정, 평가 확정 마일리지는 확인, 포켓 입금 거래는 입금, 녹색생활실천 지급분은 지급 완료 라벨을 쓴다. 색상뿐 아니라 텍스트로도 구분한다.</t>
  </si>
  <si>
    <t>status enum</t>
  </si>
  <si>
    <t>What-if·혜택·포켓 전 화면에서 같은 규칙이 적용된다.</t>
  </si>
  <si>
    <t>WF · BN · PK 전 화면</t>
  </si>
  <si>
    <t>COM-08</t>
  </si>
  <si>
    <t>로딩·빈 결과·오류 처리</t>
  </si>
  <si>
    <t>OCR, 에코마일리지 연동, 녹색생활실천 연동, 저장, 전환, 출금의 로딩·빈 결과·실패·재시도 상태를 제공한다. 로딩은 진행률(OCR) 또는 항목별 진행(연동)으로 보여주고, 타임아웃 시 재시도 버튼을 둔다.</t>
  </si>
  <si>
    <t>jobId, progress, errorCode</t>
  </si>
  <si>
    <t>타임아웃·서버 오류 → 재시도, 처리 중인 것을 완료로 표시하지 않음</t>
  </si>
  <si>
    <t>핵심 흐름에 무반응 또는 빈 화면이 없다.</t>
  </si>
  <si>
    <t>AN-03 · WF-02 · PK-04</t>
  </si>
  <si>
    <t>COM-09</t>
  </si>
  <si>
    <t>시드 데이터 적재</t>
  </si>
  <si>
    <t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t>
  </si>
  <si>
    <t>시드 파일(JSON/SQL)</t>
  </si>
  <si>
    <t>초기화 후 동일한 데모 결과가 생성된다.</t>
  </si>
  <si>
    <t>시드 제작은 비개발, 적재 스크립트는 BE</t>
  </si>
  <si>
    <t>COM-10</t>
  </si>
  <si>
    <t>데모 초기화</t>
  </si>
  <si>
    <t>프로필·고지서·What-if 목표·미션 선택·연동 상태·포켓 내역을 정해진 발표 시작 상태로 복원한다.</t>
  </si>
  <si>
    <t>POST /demo/reset</t>
  </si>
  <si>
    <t>실패 시 재실행</t>
  </si>
  <si>
    <t>한 번의 조작으로 시연 상태가 복원된다.</t>
  </si>
  <si>
    <t>COM-11</t>
  </si>
  <si>
    <t>개인정보·데모 데이터 안내</t>
  </si>
  <si>
    <t>고지서 원본 이미지는 분석 후 삭제됨을 표시한다. 계좌번호·비밀번호·JWT·Refresh Token 원문과 Authorization 헤더는 로그에 남기지 않는다.</t>
  </si>
  <si>
    <t>이미지 업로드 전 안내가 노출된다.</t>
  </si>
  <si>
    <t>AN-02</t>
  </si>
  <si>
    <t>문구 작성</t>
  </si>
  <si>
    <t>COM-12</t>
  </si>
  <si>
    <t>외부 연동 모의</t>
  </si>
  <si>
    <t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t>
  </si>
  <si>
    <t>ecoLinkStatus, greenlifeStatus, linkedAt, registeredUtilities[]</t>
  </si>
  <si>
    <t>연동 전·중·후 상태가 화면 흐름대로 재현된다.</t>
  </si>
  <si>
    <t>WF-01 · WF-02 · BN-01</t>
  </si>
  <si>
    <t>COM-13</t>
  </si>
  <si>
    <t>이메일 회원가입</t>
  </si>
  <si>
    <t>이메일은 공백 제거 후 소문자로 정규화하고 중복을 차단한다. 비밀번호는 8자 이상·UTF-8 기준 72바이트 이하이며 BCrypt 해시만 저장한다. 성공 시 Access Token을 응답하고 Refresh Token은 HttpOnly 쿠키로 설정한다.</t>
  </si>
  <si>
    <t>email, password, name, accessToken, refreshToken(cookie)</t>
  </si>
  <si>
    <t>이메일 형식·비밀번호 길이·중복 이메일 오류</t>
  </si>
  <si>
    <t>app_user와 인증 계정이 함께 생성되고 그린포켓 계좌번호가 발급되며 ONB-02로 이동한다.</t>
  </si>
  <si>
    <t>결정 C-17</t>
  </si>
  <si>
    <t>COM-14</t>
  </si>
  <si>
    <t>이메일 로그인</t>
  </si>
  <si>
    <t>이메일·비밀번호를 검증해 Access Token과 Refresh Token을 발급한다. 미가입 이메일과 비밀번호 불일치는 같은 오류로 응답한다.</t>
  </si>
  <si>
    <t>email, password, accessToken, refreshToken(cookie), entryScreen</t>
  </si>
  <si>
    <t>COM-13 또는 기존 인증 계정</t>
  </si>
  <si>
    <t>자격 증명 불일치</t>
  </si>
  <si>
    <t>미완료 사용자는 ONB-02, 온보딩 완료 사용자는 WF-06으로 이동한다.</t>
  </si>
  <si>
    <t>COM-15</t>
  </si>
  <si>
    <t>Access Token 재발급</t>
  </si>
  <si>
    <t>14일 유효한 HttpOnly Refresh Token으로 30분 Access Token을 재발급한다. 원문 대신 해시만 저장하고 재발급 때 기존 토큰을 폐기·회전한다.</t>
  </si>
  <si>
    <t>accessToken, refreshToken(cookie), expiresIn</t>
  </si>
  <si>
    <t>유효한 Refresh Token</t>
  </si>
  <si>
    <t>토큰 누락·형식 오류·만료·폐기·재사용</t>
  </si>
  <si>
    <t>동시 401에서도 재발급은 한 번만 실행되고 실패한 원 요청은 최대 한 번 재시도된다.</t>
  </si>
  <si>
    <t>COM-16</t>
  </si>
  <si>
    <t>로그아웃</t>
  </si>
  <si>
    <t>현재 Refresh Token을 폐기하고 쿠키를 삭제한다. Access Token 블랙리스트는 MVP에서 운영하지 않으며 FE는 Access Token을 즉시 제거한다.</t>
  </si>
  <si>
    <t>refreshToken(cookie)</t>
  </si>
  <si>
    <t>로그인 상태</t>
  </si>
  <si>
    <t>-</t>
  </si>
  <si>
    <t>재발급이 차단되고 로그인 화면으로 이동한다.</t>
  </si>
  <si>
    <t>MY-01</t>
  </si>
  <si>
    <t>A-1. 주거 프로필</t>
  </si>
  <si>
    <t>A-1-01</t>
  </si>
  <si>
    <t>지역 선택</t>
  </si>
  <si>
    <t>시연 대상은 서울특별시로 한정한다. 시·도 목록은 서울특별시 1건, 시·군·구 목록은 서울 25개 자치구를 제공한다. 행정안전부 행정표준코드관리시스템·행정표준코드 API를 출처로 참고하되 실행 중에는 resources/data/seoul-regions.json의 고정 목록을 사용한다. 시·도 선택 전에는 시·군·구 셀을 비활성화한다. "비교 자료가 없는 지역은 더 넓은 범위의 평균을 쓰고, 그 범위를 화면에 표시해요"를 안내한다.</t>
  </si>
  <si>
    <t>sidoCode, sigunguCode</t>
  </si>
  <si>
    <t>이름 저장</t>
  </si>
  <si>
    <t>미선택 시 다음 버튼 비활성</t>
  </si>
  <si>
    <t>서울 25개 자치구가 모두 조회되고 저장한 지역이 A-3 기준선 조회와 B-1 서울 거주 판정에 반영된다.</t>
  </si>
  <si>
    <t>ONB-02</t>
  </si>
  <si>
    <t>A-1-02</t>
  </si>
  <si>
    <t>주거 형태 선택</t>
  </si>
  <si>
    <t>원룸 · 오피스텔 · 아파트 · 다세대 칩 중 하나를 선택한다(그룹 단일 선택).</t>
  </si>
  <si>
    <t>housingType</t>
  </si>
  <si>
    <t>미선택 그룹 안내</t>
  </si>
  <si>
    <t>필수값이 없으면 다음이 비활성화되고 안내가 표시된다.</t>
  </si>
  <si>
    <t>A-1-03</t>
  </si>
  <si>
    <t>평수 구간 선택</t>
  </si>
  <si>
    <t>10평 이하 · 10~20평 · 20평 이상 라디오 중 하나를 선택한다.</t>
  </si>
  <si>
    <t>areaBand</t>
  </si>
  <si>
    <t>선택 구간이 프로필 요약(진단 헤더·마이페이지)에 표시된다.</t>
  </si>
  <si>
    <t>A-1-05</t>
  </si>
  <si>
    <t>프로필 저장·시작</t>
  </si>
  <si>
    <t>ONB-02의 저장하고 시작하기로 이름·지역·주거 형태·평수를 저장하고 What-if 탭(홈)으로 이동한다. 청년 조건(나이·소득·취업) 화면은 삭제한다(결정 B-1).</t>
  </si>
  <si>
    <t>POST /profile</t>
  </si>
  <si>
    <t>지역·주거 형태·평수 입력</t>
  </si>
  <si>
    <t>저장 실패 → 재시도</t>
  </si>
  <si>
    <t>다시 진입했을 때 프로필이 유지되고 온보딩을 건너뛴다.</t>
  </si>
  <si>
    <t>A-1-06</t>
  </si>
  <si>
    <t>프로필 조회·수정</t>
  </si>
  <si>
    <t>마이페이지 기본 정보에서 이름·지역·주거 형태·평수를 조회하고 수정으로 ONB-01·02 폼을 재사용해 수정한다. 지역 변경 시 진단 기준선 재조회와 진행 중 평가 기준 변경 영향을 경고한다.</t>
  </si>
  <si>
    <t>PUT /profile</t>
  </si>
  <si>
    <t>프로필 존재</t>
  </si>
  <si>
    <t>진행 중 평가 기간에 주소 변경 → 경고 후 확인</t>
  </si>
  <si>
    <t>수정한 값으로 진단 기준선이 다시 조회된다.</t>
  </si>
  <si>
    <t>MY-01 · MY-02</t>
  </si>
  <si>
    <t>A-1-07</t>
  </si>
  <si>
    <t>프로필 요약 표시</t>
  </si>
  <si>
    <t>진단 헤더에 서울 관악구 · 아파트 20평대, 마이페이지 카드에 서울 용산구 · 원룸 · 10평 이하 형식으로 요약한다.</t>
  </si>
  <si>
    <t>profile</t>
  </si>
  <si>
    <t>프로필 변경이 즉시 반영된다.</t>
  </si>
  <si>
    <t>AN-07 · MY-01</t>
  </si>
  <si>
    <t>A-2. 고지서 데이터화</t>
  </si>
  <si>
    <t>A-2-01</t>
  </si>
  <si>
    <t>등록 진입·대상 월 계산</t>
  </si>
  <si>
    <t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t>
  </si>
  <si>
    <t>targetYearMonth, lastRegisteredMonth</t>
  </si>
  <si>
    <t>프로필 완료</t>
  </si>
  <si>
    <t>대상 월 이미 등록 → AN-07</t>
  </si>
  <si>
    <t>진입 시 대상 월이 헤더에 표시된다.</t>
  </si>
  <si>
    <t>AN-01 · AN-02</t>
  </si>
  <si>
    <t>A-2-02</t>
  </si>
  <si>
    <t>입력 방식 선택</t>
  </si>
  <si>
    <t>사진 분석과 직접 입력 세그먼트 중 하나를 선택한다. 입력 중 모드를 바꾸면 입력 데이터 보존 여부를 확인한다.</t>
  </si>
  <si>
    <t>mode(photo|manual)</t>
  </si>
  <si>
    <t>대상 월 존재</t>
  </si>
  <si>
    <t>모드 전환 시 확인 다이얼로그</t>
  </si>
  <si>
    <t>두 경로 모두 동일한 고지서 저장 구조(A-2-11)로 연결된다.</t>
  </si>
  <si>
    <t>A-2-03</t>
  </si>
  <si>
    <t>고지서 이미지 촬영·선택</t>
  </si>
  <si>
    <t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t>
  </si>
  <si>
    <t>image(JPG·PNG ≤10MB)</t>
  </si>
  <si>
    <t>카메라/사진 권한</t>
  </si>
  <si>
    <t>권한 거부 → 설정 안내, 용량 초과 → 재선택, 흐림 → 재촬영 안내</t>
  </si>
  <si>
    <t>정상·미지원 형식·초과 용량·권한 거부 상태가 처리된다.</t>
  </si>
  <si>
    <t>A-2-04</t>
  </si>
  <si>
    <t>고지서 OCR·항목 분류</t>
  </si>
  <si>
    <t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t>
  </si>
  <si>
    <t>POST /bills/ocr → jobId, progress, billType, items[]{utility, month, amount, usage, confidence}</t>
  </si>
  <si>
    <t>이미지 업로드 완료</t>
  </si>
  <si>
    <t>타임아웃·서버 오류 → 재시도 또는 직접 입력(A-2-07)</t>
  </si>
  <si>
    <t>준비된 샘플 이미지에서 고지서 유형과 항목별 금액이 인식 결과 화면에 표시된다.</t>
  </si>
  <si>
    <t>AN-03</t>
  </si>
  <si>
    <t>CLOVA Template OCR 연동. 관리비 통합(43341)·개별 전기(43345)·개별 수도(43347)·개별 도시가스(43348) 템플릿 등록·테스트 완료</t>
  </si>
  <si>
    <t>A-2-05</t>
  </si>
  <si>
    <t>인식 결과 확인</t>
  </si>
  <si>
    <t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t>
  </si>
  <si>
    <t>billType, items[], confidence</t>
  </si>
  <si>
    <t>OCR 완료</t>
  </si>
  <si>
    <t>부분 인식 → 경고 배지, 0건 인식 → A-2-07</t>
  </si>
  <si>
    <t>인식된 항목만 체크 표시되고 미인식 항목은 목록에서 빠진다.</t>
  </si>
  <si>
    <t>AN-04</t>
  </si>
  <si>
    <t>A-2-06</t>
  </si>
  <si>
    <t>인식 내용 수정</t>
  </si>
  <si>
    <t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t>
  </si>
  <si>
    <t>utilityType, hasData, month, amount, usage, unit</t>
  </si>
  <si>
    <t>OCR 또는 직접 입력 데이터</t>
  </si>
  <si>
    <t>미인식 항목 → 내용 없음 상태</t>
  </si>
  <si>
    <t>수정값이 최종 고지서 데이터가 된다.</t>
  </si>
  <si>
    <t>AN-05</t>
  </si>
  <si>
    <t>A-2-07</t>
  </si>
  <si>
    <t>OCR 실패 대체 경로</t>
  </si>
  <si>
    <t>인식 실패·타임아웃·지원하지 않는 양식이면 오류 내용을 표시하고 빈 직접 입력 폼(A-2-08)으로 이동한다.</t>
  </si>
  <si>
    <t>errorCode</t>
  </si>
  <si>
    <t>OCR 실패</t>
  </si>
  <si>
    <t>OCR 실패 후에도 시연 흐름을 끝까지 진행할 수 있다.</t>
  </si>
  <si>
    <t>AN-03 → AN-05</t>
  </si>
  <si>
    <t>A-2-08</t>
  </si>
  <si>
    <t>고지서 직접 입력</t>
  </si>
  <si>
    <t>A-2-06과 동일한 3탭 폼에 청구 월·청구 금액·사용량을 입력한다. 전기는 필수, 수도·도시가스는 선택이다. B-4 월 감축률 계산을 위해 사용량을 필수값으로 둔다.</t>
  </si>
  <si>
    <t>utilityType, month, amount, usage</t>
  </si>
  <si>
    <t>입력 방식 = 직접 입력</t>
  </si>
  <si>
    <t>전기 미입력 → 저장 차단</t>
  </si>
  <si>
    <t>OCR 없이도 진단과 What-if 월 판정까지 진행된다.</t>
  </si>
  <si>
    <t>A-2-09</t>
  </si>
  <si>
    <t>입력값 검증</t>
  </si>
  <si>
    <t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t>
  </si>
  <si>
    <t>month, amount(int ≥0), usage(decimal ≥0)</t>
  </si>
  <si>
    <t>항목 선택</t>
  </si>
  <si>
    <t>빈값·음수·형식 오류·항목 중복 → 필드 오류 표시</t>
  </si>
  <si>
    <t>오류 원인과 수정 방법이 입력 필드에 표시된다.</t>
  </si>
  <si>
    <t>A-2-10</t>
  </si>
  <si>
    <t>등록 전 요약·확정</t>
  </si>
  <si>
    <t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t>
  </si>
  <si>
    <t>items[], total</t>
  </si>
  <si>
    <t>항목 검증 통과</t>
  </si>
  <si>
    <t>항목 0개 → 등록 버튼 비활성</t>
  </si>
  <si>
    <t>확정 전에는 저장되지 않는다.</t>
  </si>
  <si>
    <t>AN-06</t>
  </si>
  <si>
    <t>A-2-11</t>
  </si>
  <si>
    <t>고지서 저장</t>
  </si>
  <si>
    <t>청구 월, 고지서 유형, 항목별 금액·사용량·단위, 입력 출처(OCR/직접), 등록일, 상태(등록 완료 / 확인 대기)를 저장한다. 하나의 등록으로 항목별 레코드를 생성한다.</t>
  </si>
  <si>
    <t>POST /bills → billId, items[]</t>
  </si>
  <si>
    <t>요약 확정</t>
  </si>
  <si>
    <t>저장 실패 → 재시도, 중복 → A-2-09</t>
  </si>
  <si>
    <t>저장 후 A-3 진단으로 이동하고 B-4 월 판정 입력으로 사용된다.</t>
  </si>
  <si>
    <t>A-2-12</t>
  </si>
  <si>
    <t>고지서 보관함</t>
  </si>
  <si>
    <t>마이페이지에서 진입한다. 전체 · 전기 · 수도 · 가스 탭과 연도 필터 조합으로 조회하고, 최신 월 우선 목록(청구 월·유형·사용량·금액·등록일·상태)과 새 고지서 등록하기를 둔다.</t>
  </si>
  <si>
    <t>GET /bills?utility&amp;year</t>
  </si>
  <si>
    <t>결과 없음 → 빈 상태</t>
  </si>
  <si>
    <t>필터 적용 시 건수가 실제 데이터와 일치한다.</t>
  </si>
  <si>
    <t>MY-03</t>
  </si>
  <si>
    <t>A-2-13</t>
  </si>
  <si>
    <t>고지서 상세·수정·삭제</t>
  </si>
  <si>
    <t>보관함 항목을 눌러 상세를 보고 금액·사용량을 수정하거나 삭제한다. 삭제는 확인 다이얼로그를 거친다. 수정·삭제 시 해당 월 진단과 What-if 월 판정을 재계산하고 완료 토스트를 띄운다.</t>
  </si>
  <si>
    <t>PUT/DELETE /bills/{billId}</t>
  </si>
  <si>
    <t>고지서 존재</t>
  </si>
  <si>
    <t>삭제 확인, 재계산 실패 → 안내</t>
  </si>
  <si>
    <t>재계산 결과가 즉시 반영된다.</t>
  </si>
  <si>
    <t>AN-08</t>
  </si>
  <si>
    <t>시안 없음 — AN-05 폼 재사용 고지서 묶음(upload_batch_id)과 수정 이력은 관리하지 않는다. 조회·수정·삭제는 레코드 단위이고 updated_at 만 갱신한다(결정 C-3).</t>
  </si>
  <si>
    <t>A-3. 비교 진단</t>
  </si>
  <si>
    <t>A-3-01</t>
  </si>
  <si>
    <t>지역 가구 평균 기준선 데이터</t>
  </si>
  <si>
    <t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t>
  </si>
  <si>
    <t>region_avg{year, month, sido, sigungu, houseCnt, avgUsage, avgBill, source, extractedAt}</t>
  </si>
  <si>
    <t>한전 API 인증키(C-3)</t>
  </si>
  <si>
    <t>최신 제공 월이 데모 청구 월보다 이르면 데모 월 조정</t>
  </si>
  <si>
    <t>모든 값에 출처·기준 월·추출일이 저장된다.</t>
  </si>
  <si>
    <t>수집·가공은 비개발. 수도·가스 평균 공개 여부 확인(C-4)</t>
  </si>
  <si>
    <t>A-3-02</t>
  </si>
  <si>
    <t>비교군 조회</t>
  </si>
  <si>
    <t>사용자 지역과 청구 월에 맞는 같은 지역 가구 평균을 최근 6개월분 조회한다. 시군구 자료가 없거나 표본이 부족하면 더 넓은 지역 평균을 사용하고 범위 배지(서울 관악구 → 서울)로 표시한다.</t>
  </si>
  <si>
    <t>GET /diagnosis/baseline?sigungu&amp;month</t>
  </si>
  <si>
    <t>프로필 지역</t>
  </si>
  <si>
    <t>상위 지역도 없음 → A-3-03</t>
  </si>
  <si>
    <t>동일 조건에 동일 기준선이 반환된다.</t>
  </si>
  <si>
    <t>AN-07</t>
  </si>
  <si>
    <t>A-3-03</t>
  </si>
  <si>
    <t>기준선 부재 처리</t>
  </si>
  <si>
    <t>사용할 수 있는 비교군이 없으면 임의 값을 만들지 않는다.</t>
  </si>
  <si>
    <t>비교 데이터 준비 중 안내와 다음 행동이 표시된다.</t>
  </si>
  <si>
    <t>A-3-04</t>
  </si>
  <si>
    <t>진단 빈 상태</t>
  </si>
  <si>
    <t>등록된 고지서가 없으면 아직 등록된 고지서가 없어요 · 전기·수도·도시가스가 포함된 관리비 고지서도 한 번에 분석할 수 있어요와 N월 고지서 등록하기(A-2-01)를 표시한다.</t>
  </si>
  <si>
    <t>고지서 0건</t>
  </si>
  <si>
    <t>신규 상태에서 다음 행동이 명확하다.</t>
  </si>
  <si>
    <t>AN-01</t>
  </si>
  <si>
    <t>A-3-05</t>
  </si>
  <si>
    <t>월 생활요금 합계 카드</t>
  </si>
  <si>
    <t>선택 월의 생활요금 합계(내용 있는 항목만)와 항목별(전기세·수도세·도시가스) 금액을 보여주고, 작년 동월 값이 있으면 작년보다 +1,900원 배지를 붙인다. 작년 값이 없으면 배지를 숨긴다.</t>
  </si>
  <si>
    <t>currentTotal, previousYearTotal</t>
  </si>
  <si>
    <t>선택 월 고지서</t>
  </si>
  <si>
    <t>작년 데이터 없음 → 배지 숨김</t>
  </si>
  <si>
    <t>합계가 항목 합과 일치한다.</t>
  </si>
  <si>
    <t>A-3-06</t>
  </si>
  <si>
    <t>작년 동월 비교</t>
  </si>
  <si>
    <t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t>
  </si>
  <si>
    <t>items[]{utility, lastYearAmount, thisYearAmount}</t>
  </si>
  <si>
    <t>에코마일리지 연동</t>
  </si>
  <si>
    <t>작년 값 없음 → 카드 숨김 + 연동 유도</t>
  </si>
  <si>
    <t>연동 전·후 상태가 각각 정상 표시된다.</t>
  </si>
  <si>
    <t>작년 값 = 에코마일리지 연동값</t>
  </si>
  <si>
    <t>A-3-07</t>
  </si>
  <si>
    <t>지역 평균 비교</t>
  </si>
  <si>
    <t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t>
  </si>
  <si>
    <t>series{mine[], regionAvg[]}, regionLabel</t>
  </si>
  <si>
    <t>기준선 존재</t>
  </si>
  <si>
    <t>표본 부족 → 넓은 지역 평균 + 안내, 수도·가스 평균 없음 → 준비 중</t>
  </si>
  <si>
    <t>평균의 지역·기준 월·출처가 함께 표시된다.</t>
  </si>
  <si>
    <t>라인 차트</t>
  </si>
  <si>
    <t>A-3-08</t>
  </si>
  <si>
    <t>차액 계산</t>
  </si>
  <si>
    <t>사용자 금액 − 같은 지역 가구 평균 금액, 올해 금액 − 작년 동월 금액을 계산한다. 양수는 초과, 음수는 미만으로 처리하며 이전 값이 없으면 비교 불가로 표시한다. 원화 결과를 먼저 보여준다.</t>
  </si>
  <si>
    <t>diffRegion, diffLastYear</t>
  </si>
  <si>
    <t>기준 없음 → 비교 불가</t>
  </si>
  <si>
    <t>양수·0·음수 경계 테스트를 통과한다.</t>
  </si>
  <si>
    <t>A-3-09</t>
  </si>
  <si>
    <t>청구 월 선택</t>
  </si>
  <si>
    <t>헤더의 월 드롭다운(2026년 8월 ▾)으로 과거 달 진단을 조회한다. 등록된 월만 활성화하고 미등록 월은 등록 안내로 연결한다.</t>
  </si>
  <si>
    <t>yearMonth, registeredMonths[]</t>
  </si>
  <si>
    <t>등록 고지서 존재</t>
  </si>
  <si>
    <t>미등록 월 → 등록 안내, 로딩 상태</t>
  </si>
  <si>
    <t>선택 월의 고지서와 기준선으로 카드가 갱신된다.</t>
  </si>
  <si>
    <t>A-3-10</t>
  </si>
  <si>
    <t>What-if 연계</t>
  </si>
  <si>
    <t>진단 탭에 등록된 고지서 사용량이 B-4 월 감축률·누적 감축률의 입력이 된다. 등록·수정·삭제 즉시 What-if 메인의 전달 리포트가 갱신된다.</t>
  </si>
  <si>
    <t>billId → monthlyReport</t>
  </si>
  <si>
    <t>같은 고지서로 진단과 What-if 수치가 일관된다.</t>
  </si>
  <si>
    <t>AN-07 ↔ WF-06</t>
  </si>
  <si>
    <t>B-1. 에코마일리지 연동·기준 사용량</t>
  </si>
  <si>
    <t>B-1-01</t>
  </si>
  <si>
    <t>연동 전 화면</t>
  </si>
  <si>
    <t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t>
  </si>
  <si>
    <t>GET /eco/status</t>
  </si>
  <si>
    <t>미연동</t>
  </si>
  <si>
    <t>연동 전에는 목표 설정 진입이 불가하다.</t>
  </si>
  <si>
    <t>WF-01</t>
  </si>
  <si>
    <t>B-1-02</t>
  </si>
  <si>
    <t>에코마일리지 연동 (모의)</t>
  </si>
  <si>
    <t>외부 누리집으로 이동했다가 복귀하면 시드의 등록 요금·기준 사용량·직전 연도 월별 사용량을 사용자에게 적용한다. 연동 상태와 조회일을 저장한다.</t>
  </si>
  <si>
    <t>POST /eco/link → registeredUtilities[], baseline, lastYearMonthly[]</t>
  </si>
  <si>
    <t>외부 이동 후 복귀</t>
  </si>
  <si>
    <t>복귀 후 미연동 → 안내 + 재시도</t>
  </si>
  <si>
    <t>연동 완료 후 B-1-05 기준 사용량 화면으로 전환된다.</t>
  </si>
  <si>
    <t>WF-01 → WF-02</t>
  </si>
  <si>
    <t>시드 기반 모의 연동</t>
  </si>
  <si>
    <t>B-1-03</t>
  </si>
  <si>
    <t>연동 로딩</t>
  </si>
  <si>
    <t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t>
  </si>
  <si>
    <t>utilityStatus{electric, gas, water}</t>
  </si>
  <si>
    <t>연동 승인</t>
  </si>
  <si>
    <t>20초 초과 → 재시도, 부분 실패 → 성공분 유지</t>
  </si>
  <si>
    <t>항목별 상태가 순차 갱신된다.</t>
  </si>
  <si>
    <t>WF-02</t>
  </si>
  <si>
    <t>B-1-04</t>
  </si>
  <si>
    <t>등록 요금 판별</t>
  </si>
  <si>
    <t>연동 결과로 전기·수도·도시가스 각각의 등록 여부를 저장한다. 전기 미등록 또는 등록 요금 2개 미만이면 평가 대상 아님을 안내한다.</t>
  </si>
  <si>
    <t>registeredUtilities[]</t>
  </si>
  <si>
    <t>연동 완료</t>
  </si>
  <si>
    <t>요건 미달 → 안내 + 등록하러 가기</t>
  </si>
  <si>
    <t>미등록 항목은 B-2-06 미등록 탭으로 처리된다.</t>
  </si>
  <si>
    <t>WF-02 · WF-05</t>
  </si>
  <si>
    <t>B-1-05</t>
  </si>
  <si>
    <t>기준 사용량 카드</t>
  </si>
  <si>
    <t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t>
  </si>
  <si>
    <t>baseline{total, items[]{utility, amount, usage, unit}}</t>
  </si>
  <si>
    <t>기준 기간 산출 가능</t>
  </si>
  <si>
    <t>기준 부족 → 안내, 이사 안내</t>
  </si>
  <si>
    <t>항목 합이 합계와 일치한다.</t>
  </si>
  <si>
    <t>WF-03</t>
  </si>
  <si>
    <t>B-1-06</t>
  </si>
  <si>
    <t>요금별 비중</t>
  </si>
  <si>
    <t>어디부터 줄일까요 카드에 기준 요금 비중(항목 금액 ÷ 총액: 전기 64% · 도시가스 23% · 수도 13%)과 "N이 가장 커요 · 같은 %를 줄여도 N에서 줄이는 쪽이 요금이 더 많이 내려가요"를 표시한다.</t>
  </si>
  <si>
    <t>share[]</t>
  </si>
  <si>
    <t>기준 요금 존재</t>
  </si>
  <si>
    <t>총액 0 → 카드 숨김</t>
  </si>
  <si>
    <t>비중 합이 100%다.</t>
  </si>
  <si>
    <t>B-1-07</t>
  </si>
  <si>
    <t>평가 기간 산정</t>
  </si>
  <si>
    <t>가입월 다음 달부터 6개월 단위로 평가 기간을 계산하고 현재 기간·남은 개월·다음 기간을 산출한다. 데모는 2026-04 ~ 09로 고정한다.</t>
  </si>
  <si>
    <t>roundId, periodStart, periodEnd, remainingMonths</t>
  </si>
  <si>
    <t>헤더 내 평가 기간 2026-04 ~ 09 · 8·9월 두 달 남음이 정확히 표시된다.</t>
  </si>
  <si>
    <t>WF-03 · WF-06</t>
  </si>
  <si>
    <t>B-1-08</t>
  </si>
  <si>
    <t>이사 안내</t>
  </si>
  <si>
    <t>"이사했다면 마이페이지에서 주소를 바꿔주세요. 바꾸지 않으면 지금 살지 않는 집의 사용량과 비교돼요"를 목표 미설정·메인 하단에 표시한다.</t>
  </si>
  <si>
    <t>마이페이지 수정 화면으로 이동한다.</t>
  </si>
  <si>
    <t>B-1-09</t>
  </si>
  <si>
    <t>서울 외 지역 처리</t>
  </si>
  <si>
    <t>프로필 지역이 서울이 아니면 연동 버튼을 비활성화하고 "서울시 제도라 지금은 서울 거주자만 쓸 수 있어요"를 표시한다.</t>
  </si>
  <si>
    <t>profile.sidoCode</t>
  </si>
  <si>
    <t>서울 외 프로필에서 연동이 차단된다.</t>
  </si>
  <si>
    <t>B-2. 평가 기간 목표 설정</t>
  </si>
  <si>
    <t>B-2-01</t>
  </si>
  <si>
    <t>목표 미설정 상태</t>
  </si>
  <si>
    <t>연동 후 목표가 없으면 목표를 아직 정하지 않았어요 헤더, 기준 사용량 카드(B-1-05), 요금별 비중(B-1-06), 평가 기간 목표 정하기 버튼을 보여준다.</t>
  </si>
  <si>
    <t>goal == null</t>
  </si>
  <si>
    <t>목표 저장 후 메인(B-4)으로 전환된다.</t>
  </si>
  <si>
    <t>B-2-02</t>
  </si>
  <si>
    <t>요금 세그먼트</t>
  </si>
  <si>
    <t>목표 정하기 화면 상단에 전기 · 도시가스 · 수도 세그먼트를 항상 3개 고정으로 두고, 미등록 항목에는 ·미등록 배지를 붙인다.</t>
  </si>
  <si>
    <t>utilityType, registered</t>
  </si>
  <si>
    <t>세그먼트 전환 시 각 항목 선택 상태가 유지된다.</t>
  </si>
  <si>
    <t>WF-04 · WF-05</t>
  </si>
  <si>
    <t>B-2-03</t>
  </si>
  <si>
    <t>구간 선택 칩</t>
  </si>
  <si>
    <t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t>
  </si>
  <si>
    <t>tier(5|10|15), targetRate</t>
  </si>
  <si>
    <t>해당 요금 등록</t>
  </si>
  <si>
    <t>미등록 요금 → 칩 없음(B-2-06)</t>
  </si>
  <si>
    <t>선택한 구간과 목표 %가 카드에 표시된다.</t>
  </si>
  <si>
    <t>WF-04</t>
  </si>
  <si>
    <t>B-2-04</t>
  </si>
  <si>
    <t>목표 사용량 계산</t>
  </si>
  <si>
    <t>목표 사용량 = 기준 사용량 × (1 − r ÷ 100). 전기는 정수 kWh, 수도·가스는 소수 첫째 자리 ㎥로 반올림해 표시한다.</t>
  </si>
  <si>
    <t>baselineUsage, targetRate → targetUsage</t>
  </si>
  <si>
    <t>기준 사용량</t>
  </si>
  <si>
    <t>기준 없음 → 계산 안 함</t>
  </si>
  <si>
    <t>1,340kWh × 0.9 = 1,206kWh 등 경계값 테스트를 통과한다.</t>
  </si>
  <si>
    <t>B-2-05</t>
  </si>
  <si>
    <t>항목별 예상 절감액</t>
  </si>
  <si>
    <t>예상 절감액 = 기준 요금 × r ÷ 100으로 계산한다(전기 268,000원 × 10% = −26,800원). 요금표 계산은 하지 않는다.</t>
  </si>
  <si>
    <t>baselineAmount, targetRate → expectedSaving</t>
  </si>
  <si>
    <t>구간 선택</t>
  </si>
  <si>
    <t>항목별 −26,800원 형식과 예상 라벨이 표시된다.</t>
  </si>
  <si>
    <t>B-2-06</t>
  </si>
  <si>
    <t>미등록 요금 탭</t>
  </si>
  <si>
    <t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t>
  </si>
  <si>
    <t>registered == false, reason</t>
  </si>
  <si>
    <t>해당 요금 미등록</t>
  </si>
  <si>
    <t>합산에서 제외</t>
  </si>
  <si>
    <t>합산 카드(B-2-07)가 등록 항목만으로 계산된다.</t>
  </si>
  <si>
    <t>WF-05</t>
  </si>
  <si>
    <t>B-2-07</t>
  </si>
  <si>
    <t>합산 감축률·예상 마일리지 카드</t>
  </si>
  <si>
    <t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t>
  </si>
  <si>
    <t>baselineCarbon, targetCarbon → combinedRate, tier, expectedMileage</t>
  </si>
  <si>
    <t>등록 요금 목표 존재</t>
  </si>
  <si>
    <t>등록 요금만 합산</t>
  </si>
  <si>
    <t>구간 경계(5·10·15%)에서 마일리지가 정확히 바뀐다.</t>
  </si>
  <si>
    <t>수치는 기준값·환산계수로 재계산한 값이다(결정 C-13). 시안 문구도 이 값으로 맞춘다.</t>
  </si>
  <si>
    <t>B-2-08</t>
  </si>
  <si>
    <t>목표 저장·수정</t>
  </si>
  <si>
    <t>목표 저장하기로 평가 기간당 1세트(항목별 구간·목표 %·목표 사용량·선택 미션)를 저장한다. 메인의 수정으로 같은 화면에 재진입해 수정한다.</t>
  </si>
  <si>
    <t>POST/PUT /eco/goals/{roundId}</t>
  </si>
  <si>
    <t>구간 1개 이상 선택</t>
  </si>
  <si>
    <t>다시 진입했을 때 선택값과 계산 결과가 유지된다.</t>
  </si>
  <si>
    <t>WF-04 → WF-06</t>
  </si>
  <si>
    <t>B-3. 실천 미션</t>
  </si>
  <si>
    <t>B-3-01</t>
  </si>
  <si>
    <t>실천 미션 데이터</t>
  </si>
  <si>
    <t>요금별 마스터 카탈로그를 9~12개 사전 정의하고, 화면에는 현재 계절·목표 구간·추천 맥락에 맞는 6~9개만 골라 보여준다. 미션은 자립 준비 청년이 임대 주거에서 직접 실행할 수 있는 습관 행동으로 한정하며 공사·설비 교체·전문업체 작업을 제외한다. 난이도는 비용이나 주거 권한이 아니라 한 달 동안 반복해야 하는 습관 변화의 강도(쉬움·보통·어려움)로 구분한다. 필드: 제목, 한 줄 설명, 난이도, 출처 수치, 산출 근거, 출처 기관, 기기 그룹, 계절 태그, 상한 적용 여부. 출처·산출 근거·기관 중 하나라도 없는 미션은 노출하지 않는다.</t>
  </si>
  <si>
    <t>mission{id, utility, title, desc, difficulty, rate, evidence, basis, org, deviceGroup, season[], capped}</t>
  </si>
  <si>
    <t>근거 누락 → 노출 제외</t>
  </si>
  <si>
    <t>모든 미션 카드에 난이도·절감률·출처 수치·근거·기관이 표시된다.</t>
  </si>
  <si>
    <t>WF-04 · WF-05 · WF-08</t>
  </si>
  <si>
    <t>미션 콘텐츠·출처·근거 정리</t>
  </si>
  <si>
    <t>B-3-02</t>
  </si>
  <si>
    <t>절감률 환산</t>
  </si>
  <si>
    <t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t>
  </si>
  <si>
    <t>evidenceAmount, monthlyBaselineUsage → rate</t>
  </si>
  <si>
    <t>사용량 0 → 환산 안 함</t>
  </si>
  <si>
    <t>시드 사용량에서 화면 예시(에어컨 1시간 = 18%)가 재현된다.</t>
  </si>
  <si>
    <t>B-3-03</t>
  </si>
  <si>
    <t>미션 선택</t>
  </si>
  <si>
    <t>항목별 미션 목록에서 체크로 선택하고 N개 선택을 표시한다. "고르면 메인에서 매일 확인할 수 있어요"를 안내한다.</t>
  </si>
  <si>
    <t>selectedMissionIds[]</t>
  </si>
  <si>
    <t>미션 데이터</t>
  </si>
  <si>
    <t>선택 상태가 B-2-08 목표와 함께 저장된다.</t>
  </si>
  <si>
    <t>B-3-04</t>
  </si>
  <si>
    <t>미션 합산 규칙</t>
  </si>
  <si>
    <t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t>
  </si>
  <si>
    <t>rate, deviceGroup → combinedMissionRate, shortfall</t>
  </si>
  <si>
    <t>겹침 미션 → 제외 표시</t>
  </si>
  <si>
    <t>겹침 미션 동시 선택 시 합계가 중복 가산되지 않는다.</t>
  </si>
  <si>
    <t>B-3-05</t>
  </si>
  <si>
    <t>오늘의 실천</t>
  </si>
  <si>
    <t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t>
  </si>
  <si>
    <t>season, selectedMissions[], dailyChecks[]</t>
  </si>
  <si>
    <t>선택 미션 존재</t>
  </si>
  <si>
    <t>미션 0개 → 다시 고르기 유도</t>
  </si>
  <si>
    <t>계절이 바뀌면 노출 미션이 달라진다.</t>
  </si>
  <si>
    <t>WF-06</t>
  </si>
  <si>
    <t>B-4. 진행 현황·전달 리포트</t>
  </si>
  <si>
    <t>B-4-01</t>
  </si>
  <si>
    <t>What-if 메인 헤더</t>
  </si>
  <si>
    <t>Green What-if · 내 평가 기간 2026-04 ~ 09 · 8·9월 두 달 남음을 표시한다.</t>
  </si>
  <si>
    <t>periodStart, periodEnd, remainingMonths</t>
  </si>
  <si>
    <t>목표 저장</t>
  </si>
  <si>
    <t>남은 개월이 평가 기간과 현재 날짜로 계산된다.</t>
  </si>
  <si>
    <t>B-4-02</t>
  </si>
  <si>
    <t>월 감축률 계산</t>
  </si>
  <si>
    <t>진단 탭 고지서(A-2-11)의 월 사용량과 에코마일리지 연동값의 직전 2년 같은 달 평균을 온실가스로 환산해 항목별·합산 월 감축률을 계산한다. 평가 기간 누적은 등록된 달의 환산 합으로 계산한다.</t>
  </si>
  <si>
    <t>GET /eco/monthly-report → monthlyRate, cumulativeRate, byUtility[]</t>
  </si>
  <si>
    <t>고지서·기준 존재</t>
  </si>
  <si>
    <t>고지서 없음 → 데이터 부족 표시</t>
  </si>
  <si>
    <t>시드 4~7월 고지서에서 누적 9%, 7월 1%가 재현된다.</t>
  </si>
  <si>
    <t>WF-06 · WF-07</t>
  </si>
  <si>
    <t>B-4-03</t>
  </si>
  <si>
    <t>평가 기간 진행 카드</t>
  </si>
  <si>
    <t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t>
  </si>
  <si>
    <t>cumulativeRate, currentTier, targetTier</t>
  </si>
  <si>
    <t>누적 계산</t>
  </si>
  <si>
    <t>누적 감축률 변경 시 구간·%p 문구가 갱신된다.</t>
  </si>
  <si>
    <t>B-4-04</t>
  </si>
  <si>
    <t>전달 리포트 배너</t>
  </si>
  <si>
    <t>가장 최근 등록 고지서 기준으로 7월 고지서 · 8월 3일 등록, 감축률(↓1% 줄었어요), 목표 대비 배지(목표 10% 미달 / 목표 달성)와 자세히를 표시한다. 고지서가 없으면 진단 탭 등록을 유도한다.</t>
  </si>
  <si>
    <t>latestBill, monthlyRate, targetRate</t>
  </si>
  <si>
    <t>고지서·목표</t>
  </si>
  <si>
    <t>고지서 없음 → 등록 유도</t>
  </si>
  <si>
    <t>배너 수치가 B-4-07 상세와 일치한다.</t>
  </si>
  <si>
    <t>B-4-05</t>
  </si>
  <si>
    <t>참여신청 배너</t>
  </si>
  <si>
    <t>이번 회차 참여신청이 없으면 "참여신청을 해야 받아요 · 평가 기간마다 한 번 · 아직 안 했어요 · 2년 연속 안 하면 휴면회원이 돼요"와 신청(외부 이동, 복귀 시 신청 완료로 모의 전환)을 표시한다.</t>
  </si>
  <si>
    <t>roundId, applyStatus</t>
  </si>
  <si>
    <t>현재 회차 미신청</t>
  </si>
  <si>
    <t>신청 상태 지연 → 안내</t>
  </si>
  <si>
    <t>신청 완료 후 배너가 사라진다.</t>
  </si>
  <si>
    <t>B-4-06</t>
  </si>
  <si>
    <t>평가 기간 목표 카드</t>
  </si>
  <si>
    <t>합산 목표(합쳐 11.322%), 항목별 목표 %와 사용량 변화(1,340 → 1,206 kWh), 구간·마일리지 캡션, 수정(B-2-08)을 표시한다.</t>
  </si>
  <si>
    <t>goal</t>
  </si>
  <si>
    <t>목표 수정 후 카드가 즉시 갱신된다.</t>
  </si>
  <si>
    <t>B-4-07</t>
  </si>
  <si>
    <t>전달 리포트 상세</t>
  </si>
  <si>
    <t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t>
  </si>
  <si>
    <t>monthlyRate, cumulativeRate, byUtility[], carbonShare[], monthlyRates[]</t>
  </si>
  <si>
    <t>진단 고지서 존재</t>
  </si>
  <si>
    <t>데이터 부족 → 안내, 미등록 요금 제외</t>
  </si>
  <si>
    <t>시드 데이터로 화면 예시가 재현된다.</t>
  </si>
  <si>
    <t>WF-07</t>
  </si>
  <si>
    <t>B-4-08</t>
  </si>
  <si>
    <t>남은 기간 역산</t>
  </si>
  <si>
    <t>필요 월 감축률 = (목표 % × 6 − Σ 등록 월 감축률) ÷ 남은 개월로 계산한다. 항목 단위로는 다른 항목의 현 수준 유지를 전제로 미달 항목의 필요 감축률을 역산한다. 회복 부담 배수 = 필요 월 감축률 ÷ 현재 목표 구간 하한으로 계산하며 달성이 사실상 불가능한 수치에는 확정 표현을 쓰지 않는다.</t>
  </si>
  <si>
    <t>targetRate, monthlyRates[], remainingMonths → requiredRate, recoveryBurden</t>
  </si>
  <si>
    <t>누적·남은 개월</t>
  </si>
  <si>
    <t>남은 개월 0 → 역산 생략, 달성 불가 → 확정 표현 금지</t>
  </si>
  <si>
    <t>남은 개월 0에서 0 나눗셈이 발생하지 않고 회복 부담 1.5배 경계를 정확히 판정한다.</t>
  </si>
  <si>
    <t>WF-07 · WF-08</t>
  </si>
  <si>
    <t>B-4-09</t>
  </si>
  <si>
    <t>실천 다시 고르기</t>
  </si>
  <si>
    <t>앱은 자동으로 바꾸지 않고 제안만 한다. 같은 deviceGroup의 더 강한 미션으로 교체 추천하고 합계에는 증가분만 반영하며, 부족하면 다른 그룹 미션을 추가한다. 낮출 구간이 존재하고 회복 부담 배수가 1.5 이상이거나 추천 반영 합계가 필요 감축률에 못 미치면 한 단계 낮은 구간을 제안한다. 최저 5~10% 구간은 더 낮추지 않으며 연속 미달 횟수는 안내 문구에만 사용한다.</t>
  </si>
  <si>
    <t>requiredRate, selectedExpected, actual, recommendations[], withRecommendedRate, consecutiveMisses</t>
  </si>
  <si>
    <t>월 리포트 존재</t>
  </si>
  <si>
    <t>데이터 지연 → 안내</t>
  </si>
  <si>
    <t>회복 부담 1.5배·추천 미션 부족·최저 구간 경계를 판정하고 저장 후 오늘의 실천이 갱신된다.</t>
  </si>
  <si>
    <t>WF-08</t>
  </si>
  <si>
    <t>B-4-10</t>
  </si>
  <si>
    <t>하단 연결</t>
  </si>
  <si>
    <t>메인 하단에 이사 안내(B-1-08)와 받은 마일리지 → 혜택 탭 / 그린포켓 계좌 → 포켓 탭 링크를 둔다.</t>
  </si>
  <si>
    <t>탭 이동이 정상 동작한다.</t>
  </si>
  <si>
    <t>B-5. 평가 결과·마일리지 적립</t>
  </si>
  <si>
    <t>B-5-01</t>
  </si>
  <si>
    <t>결산 알림 모달</t>
  </si>
  <si>
    <t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t>
  </si>
  <si>
    <t>finalRate, tier, mileage, viewedAt</t>
  </si>
  <si>
    <t>결과 확정·미열람</t>
  </si>
  <si>
    <t>중복 팝업 방지</t>
  </si>
  <si>
    <t>닫은 뒤 다시 뜨지 않고 결과는 리포트 보관함에서 볼 수 있다.</t>
  </si>
  <si>
    <t>WF-09</t>
  </si>
  <si>
    <t>B-5-02</t>
  </si>
  <si>
    <t>평가 결과 화면</t>
  </si>
  <si>
    <t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t>
  </si>
  <si>
    <t>utilityResults[], monthlyRates[], finalRate, tier, mileage, confirmedAt</t>
  </si>
  <si>
    <t>결과 확정</t>
  </si>
  <si>
    <t>검침 월 차이 캡션</t>
  </si>
  <si>
    <t>확정일과 "에코마일리지 누리집 기준"이 헤더에 표시된다.</t>
  </si>
  <si>
    <t>WF-10</t>
  </si>
  <si>
    <t>B-5-03</t>
  </si>
  <si>
    <t>마일리지 적립 확정 화면</t>
  </si>
  <si>
    <t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t>
  </si>
  <si>
    <t>mileage, baselineAmount, actualAmount, savedAmount</t>
  </si>
  <si>
    <t>마일리지 확정</t>
  </si>
  <si>
    <t>나중에 → 포켓에 미전환 표시</t>
  </si>
  <si>
    <t>나중에 할래요 후에도 포켓 탭에서 전환할 수 있다.</t>
  </si>
  <si>
    <t>WF-11</t>
  </si>
  <si>
    <t>B-5-04</t>
  </si>
  <si>
    <t>다음 평가 기간 전환</t>
  </si>
  <si>
    <t>평가 확정 후 다음 평가 기간을 현재 기간으로 바꾸고 목표 미설정 상태(B-2-01)로 시작한다. 이전 기간 결과는 보관한다.</t>
  </si>
  <si>
    <t>roundId(next)</t>
  </si>
  <si>
    <t>이전 기간 목표·결과가 삭제되지 않는다.</t>
  </si>
  <si>
    <t>WF-09 → WF-03</t>
  </si>
  <si>
    <t>C-1. 참여·연동</t>
  </si>
  <si>
    <t>C-1-01</t>
  </si>
  <si>
    <t>제도 소개·미참여 상태</t>
  </si>
  <si>
    <t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t>
  </si>
  <si>
    <t>GET /greenlife/status</t>
  </si>
  <si>
    <t>미참여</t>
  </si>
  <si>
    <t>여전히 미참여 → 안내, 네트워크 오류 → 새로고침</t>
  </si>
  <si>
    <t>새로고침 후 참여 상태면 C-2 현황 화면으로 전환된다.</t>
  </si>
  <si>
    <t>BN-01</t>
  </si>
  <si>
    <t>C-1-02</t>
  </si>
  <si>
    <t>누리집 연동 (모의)</t>
  </si>
  <si>
    <t>참여 여부, 이번 달 실천 건수, 항목별 실적(일자·금액·상태), 올해 지급 누계를 시드로 적용하고 최근 연동 2026.09.02 18:30 시각과 새로고침 버튼을 표시한다.</t>
  </si>
  <si>
    <t>participating, count, pending, paid, annualPaid, annualLimit, linkedAt</t>
  </si>
  <si>
    <t>외부 참여 후 복귀</t>
  </si>
  <si>
    <t>연동 상태 배지(누리집 연동)가 헤더에 표시된다.</t>
  </si>
  <si>
    <t>BN-02</t>
  </si>
  <si>
    <t>C-1-03</t>
  </si>
  <si>
    <t>실천 항목 데이터</t>
  </si>
  <si>
    <t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t>
  </si>
  <si>
    <t>item{id, name, unitPrice, unit, cap, steps[3], icon, year}</t>
  </si>
  <si>
    <t>모든 카드에 2026년 공식 적립 기준이 표시된다.</t>
  </si>
  <si>
    <t>BN-02 · BN-03</t>
  </si>
  <si>
    <t>항목별 상한 값 확인 필요(C-6)</t>
  </si>
  <si>
    <t>C-2. 실천 현황·적립</t>
  </si>
  <si>
    <t>C-2-01</t>
  </si>
  <si>
    <t>월 실천 현황 카드</t>
  </si>
  <si>
    <t>8월 실천 현황 · 44건, 적립 예정 5,540원, 지급 완료 3,140원을 표시한다. 적립 예정은 참여기업 실적 제출 전, 지급 완료는 누리집 지급 확정분이다. "실적 반영까지 최소 3일~익월 말"을 안내한다.</t>
  </si>
  <si>
    <t>count, pending, paid</t>
  </si>
  <si>
    <t>참여 중</t>
  </si>
  <si>
    <t>반영 지연 안내</t>
  </si>
  <si>
    <t>두 금액이 실적 내역 합계와 일치한다.</t>
  </si>
  <si>
    <t>C-2-02</t>
  </si>
  <si>
    <t>연간 한도 진행</t>
  </si>
  <si>
    <t>올해 받은 금액 18,600 / 70,000원 진행 바(완료 ÷ 한도)와 "1인당 연 최대 70,000원 · 녹색생활실천 누리집 기준"을 표시한다.</t>
  </si>
  <si>
    <t>annualPaid, annualLimit</t>
  </si>
  <si>
    <t>한도 도달 → 100% 고정</t>
  </si>
  <si>
    <t>한도 도달 시 100%로 고정된다.</t>
  </si>
  <si>
    <t>C-2-03</t>
  </si>
  <si>
    <t>전체 실천 항목 목록</t>
  </si>
  <si>
    <t>17개 항목을 단가와 이번 달 횟수(이번 달 24건 / 아직 실천하지 않았어요)와 함께 고정 순서 목록으로 보여준다. 실적이 없어도 목록에 유지한다. 6개 이후는 아래로 내려 17개 전체 보기로 펼친다.</t>
  </si>
  <si>
    <t>items[]{name, unitPrice, monthCount}</t>
  </si>
  <si>
    <t>항목 마스터</t>
  </si>
  <si>
    <t>실적 없음 → 미실천 표시</t>
  </si>
  <si>
    <t>항목 클릭 시 C-2-04로 이동한다.</t>
  </si>
  <si>
    <t>C-2-04</t>
  </si>
  <si>
    <t>실천항목 상세</t>
  </si>
  <si>
    <t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t>
  </si>
  <si>
    <t>itemId, unitPrice, cap, validCount, pendingAmount, history[]</t>
  </si>
  <si>
    <t>항목 ID</t>
  </si>
  <si>
    <t>상한 도달·반영 지연·빈 내역</t>
  </si>
  <si>
    <t>상세 건수가 목록 건수와 일치한다.</t>
  </si>
  <si>
    <t>BN-03</t>
  </si>
  <si>
    <t>C-2-05</t>
  </si>
  <si>
    <t>실적 상태 규칙</t>
  </si>
  <si>
    <t>실적은 적립 예정 → 지급 완료로만 전이한다. 지급 완료 금액만 포켓 입금 대상이 되며 적립 예정은 잔액에 반영하지 않는다.</t>
  </si>
  <si>
    <t>status(pending|paid)</t>
  </si>
  <si>
    <t>역전이 금지</t>
  </si>
  <si>
    <t>상태 전이 이력이 보존된다.</t>
  </si>
  <si>
    <t>C-2-06</t>
  </si>
  <si>
    <t>포켓 연계</t>
  </si>
  <si>
    <t>월 단위 지급 완료 합계를 녹색생활실천 N월 수령액으로 그린포켓 입금 거래(D-1-03)로 생성한다. 같은 월은 한 번만 생성한다.</t>
  </si>
  <si>
    <t>yearMonth, paidTotal → pocketTransaction</t>
  </si>
  <si>
    <t>지급 완료 존재</t>
  </si>
  <si>
    <t>중복 월 → 생성 안 함</t>
  </si>
  <si>
    <t>혜택 탭 지급 완료 금액과 포켓 입금 내역이 일치한다.</t>
  </si>
  <si>
    <t>BN-02 → PK-05</t>
  </si>
  <si>
    <t>D-1. 포켓 계좌·잔액·내역</t>
  </si>
  <si>
    <t>D-1-01</t>
  </si>
  <si>
    <t>그린포켓 계좌</t>
  </si>
  <si>
    <t>데모 사용자에게 포켓 이름(그린포켓 고정), 그린포켓 계좌번호(1005-####-####-## 형식의 사용자별 고유 번호, 복사), 예금주를 부여한다. 이 계좌가 에코마일리지·녹색생활실천 수령 계좌 역할을 한다.</t>
  </si>
  <si>
    <t>pocketAccount, holder</t>
  </si>
  <si>
    <t>복사 실패 → 토스트</t>
  </si>
  <si>
    <t>포켓 관리 화면(D-3-05)에 표시된다.</t>
  </si>
  <si>
    <t>PK-06</t>
  </si>
  <si>
    <t>포켓 이름은 "그린포켓" 고정이고 변경 기능은 만들지 않는다(결정 C-2).</t>
  </si>
  <si>
    <t>D-1-02</t>
  </si>
  <si>
    <t>잔액 조회</t>
  </si>
  <si>
    <t>잔액 = 입금 상태 거래 합계 − 완료 출금. 예상 마일리지·적립 예정 포인트·미전환 마일리지는 잔액에서 제외한다.</t>
  </si>
  <si>
    <t>GET /pocket/balance</t>
  </si>
  <si>
    <t>포켓 존재</t>
  </si>
  <si>
    <t>동기화 지연 → 안내</t>
  </si>
  <si>
    <t>거래 합계와 표시 잔액이 일치한다.</t>
  </si>
  <si>
    <t>PK-01 · PK-02</t>
  </si>
  <si>
    <t>D-1-03</t>
  </si>
  <si>
    <t>입금 거래 생성</t>
  </si>
  <si>
    <t>입금 원천은 두 가지다: ① 에코마일리지 전환금(D-2-02), ② 녹색생활실천 월 수령액(C-2-06). 거래마다 출처명, 금액, 일시, 상태, 고유 거래 ID(GP-YYMM-NNNN)를 발급하고 같은 원천 건의 중복 생성을 막는다.</t>
  </si>
  <si>
    <t>transaction{id, source, amount, paidAt, status}</t>
  </si>
  <si>
    <t>원천 확정</t>
  </si>
  <si>
    <t>중복 원천 → 생성 안 함</t>
  </si>
  <si>
    <t>재시도해도 중복 거래가 발생하지 않는다.</t>
  </si>
  <si>
    <t>PK-05</t>
  </si>
  <si>
    <t>D-1-04</t>
  </si>
  <si>
    <t>포켓 메인</t>
  </si>
  <si>
    <t>잔액 카드(잔액, 포켓 관리, 내 출금계좌 — 계좌번호 전체 표시(결정 A-2), 출금 신청하기, 전환 가능한 마일리지), 적립 내역 안내 배너, 적립·출금 구분 없이 최신 거래 4건 + 전체 보기, "마일리지 전환은 1일 1회만 가능해요 · 전환 후 취소는 불가능하니 신중히 확인해 주세요" 안내를 표시한다(결정 C-16).</t>
  </si>
  <si>
    <t>balance, defaultAccount, convertibleMileage, recentTransactions[4]</t>
  </si>
  <si>
    <t>신규 상태와 데이터 보유 상태가 각각 정상 표시된다.</t>
  </si>
  <si>
    <t>D-1-05</t>
  </si>
  <si>
    <t>거래 내역 전체</t>
  </si>
  <si>
    <t>전체·적립·출금 탭을 제공하고, 선택한 탭의 거래를 월별 그룹(최신순)으로 표시한다. 전체 탭은 모든 거래, 적립 탭은 CREDIT, 출금 탭은 DEBIT 거래를 조회하며 항목별 출처·상태 배지·일시·거래 ID·금액을 표시한다(결정 C-16).</t>
  </si>
  <si>
    <t>GET /pocket/transactions</t>
  </si>
  <si>
    <t>거래 존재</t>
  </si>
  <si>
    <t>빈 상태</t>
  </si>
  <si>
    <t>전체·적립·출금 탭에서 선택한 방향에 맞는 거래만 표시되고 월 소계는 완료된 입금은 양수, 완료된 출금은 음수로 계산된다.</t>
  </si>
  <si>
    <t>D-1-06</t>
  </si>
  <si>
    <t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t>
  </si>
  <si>
    <t>출금계좌 없음 또는 거래 0건</t>
  </si>
  <si>
    <t>계좌 미등록 시 출금 신청이 계좌 등록으로 유도된다.</t>
  </si>
  <si>
    <t>PK-01</t>
  </si>
  <si>
    <t>D-2. 마일리지 전환</t>
  </si>
  <si>
    <t>D-2-01</t>
  </si>
  <si>
    <t>전환 가능 마일리지 표시</t>
  </si>
  <si>
    <t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t>
  </si>
  <si>
    <t>convertibleMileage</t>
  </si>
  <si>
    <t>0 → 버튼 비활성</t>
  </si>
  <si>
    <t>전환 후 0으로 갱신된다.</t>
  </si>
  <si>
    <t>PK-02</t>
  </si>
  <si>
    <t>D-2-02</t>
  </si>
  <si>
    <t>마일리지 현금 전환 (외부 이동·모의)</t>
  </si>
  <si>
    <t>마일리지 전환하기 / 현금으로 바꾸기를 누르면 금액·출처·"현금 아님"·취소 불가 안내를 보여준 뒤 에코마일리지 상품 신청 페이지(https://ecomileage.seoul.go.kr/goods/apply.do)로 이동한다. 복귀 시 전환 완료로 모의 전환하고 에코마일리지 수령액 입금 거래(D-1-03)를 생성한다(결정 A-1·C-16, 참여신청 배너와 같은 패턴). 나중에를 고르면 포켓에 미전환 상태로 남긴다. 1일 1회, 평가 회차당 1회만 허용한다.</t>
  </si>
  <si>
    <t>conversionStatus, roundId, amount</t>
  </si>
  <si>
    <t>전환 가능 마일리지 &gt; 0</t>
  </si>
  <si>
    <t>복귀 후 실패 → 미전환 유지 + 재시도, 같은 날 재시도 → 안내</t>
  </si>
  <si>
    <t>외부 이동 없이 거래가 생성되지 않고, 같은 회차 중복 전환이 막힌다.</t>
  </si>
  <si>
    <t>WF-11 · PK-02</t>
  </si>
  <si>
    <t>D-2-03</t>
  </si>
  <si>
    <t>전환 결과·실패 처리</t>
  </si>
  <si>
    <t>성공 시 잔액·내역이 즉시 반영되고, 실패 시 잔액을 변경하지 않으며 재시도를 제공한다.</t>
  </si>
  <si>
    <t>transaction.status</t>
  </si>
  <si>
    <t>전환 시도</t>
  </si>
  <si>
    <t>실패 → 잔액 불변</t>
  </si>
  <si>
    <t>실패 거래가 잔액에 반영되지 않는다.</t>
  </si>
  <si>
    <t>D-3. 출금·포켓 관리</t>
  </si>
  <si>
    <t>D-3-01</t>
  </si>
  <si>
    <t>출금 계좌 등록·관리</t>
  </si>
  <si>
    <t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t>
  </si>
  <si>
    <t>bankCode, accountNo, holder, isDefault</t>
  </si>
  <si>
    <t>계좌 없음 → 등록 유도</t>
  </si>
  <si>
    <t>기본 계좌 배지가 하나만 표시된다.</t>
  </si>
  <si>
    <t>PK-06 · PK-07</t>
  </si>
  <si>
    <t>PK-07 시안 없음</t>
  </si>
  <si>
    <t>D-3-02</t>
  </si>
  <si>
    <t>출금 신청</t>
  </si>
  <si>
    <t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t>
  </si>
  <si>
    <t>amount(int, 0&lt;amount≤balance), accountId</t>
  </si>
  <si>
    <t>잔액 &gt; 0, 계좌 존재</t>
  </si>
  <si>
    <t>잔액 부족·0원·계좌 없음 → 버튼 비활성 + 원인 표시</t>
  </si>
  <si>
    <t>검증 실패 시 버튼이 비활성화되고 원인이 표시된다.</t>
  </si>
  <si>
    <t>PK-03</t>
  </si>
  <si>
    <t>D-3-03</t>
  </si>
  <si>
    <t>출금 완료 (모의)</t>
  </si>
  <si>
    <t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t>
  </si>
  <si>
    <t>POST /pocket/withdrawals (idempotencyKey) → amount, requestedAt, expectedDate</t>
  </si>
  <si>
    <t>검증 통과</t>
  </si>
  <si>
    <t>중복 탭 → 1건만, 실패 → 완료 화면 금지</t>
  </si>
  <si>
    <t>완료 후 잔액이 즉시 갱신된다.</t>
  </si>
  <si>
    <t>PK-04</t>
  </si>
  <si>
    <t>D-3-04</t>
  </si>
  <si>
    <t>출금 내역</t>
  </si>
  <si>
    <t>출금 거래(금액·계좌·신청 일시·상태 requested · processing · completed · failed)를 목록으로 보여주고, 실패는 사유와 재시도 안내, 처리 중은 취소 정책 안내를 붙인다.</t>
  </si>
  <si>
    <t>GET /pocket/withdrawals</t>
  </si>
  <si>
    <t>출금 이력</t>
  </si>
  <si>
    <t>잔액 차감 내역을 추적할 수 있다.</t>
  </si>
  <si>
    <t>PK-08</t>
  </si>
  <si>
    <t>시안 없음</t>
  </si>
  <si>
    <t>D-3-05</t>
  </si>
  <si>
    <t>포켓 관리 화면</t>
  </si>
  <si>
    <t>그린포켓 정보(포켓 이름 "그린포켓" · 계좌·예금주·잔액, 계좌 복사), 출금 계좌 관리(D-3-01), 출금 내역(D-3-04), 출금 신청하기(D-3-02)를 한 화면에 모은다.</t>
  </si>
  <si>
    <t>pocket, accounts[]</t>
  </si>
  <si>
    <t>포켓 메인 포켓 관리에서 진입한다.</t>
  </si>
  <si>
    <t>시안의 포켓 이름 수정 UI는 제거한다(결정 C-2).</t>
  </si>
  <si>
    <t>D-3-06</t>
  </si>
  <si>
    <t>출금 계좌 본인확인</t>
  </si>
  <si>
    <t>은행·계좌 입력 후 본인 명의 확인(인증 세션)을 거쳐 저장하고 인증 상태를 배지로 표시한다. MVP에서는 구현하지 않는다(결정 A-6).</t>
  </si>
  <si>
    <t>bank, account, holder, verifiedAt</t>
  </si>
  <si>
    <t>본인 인증 세션</t>
  </si>
  <si>
    <t>불일치·타임아웃</t>
  </si>
  <si>
    <t>인증된 계좌만 기본 계좌가 된다.</t>
  </si>
  <si>
    <t>PK-07</t>
  </si>
  <si>
    <t>후속 확장</t>
  </si>
  <si>
    <t>D-4. 상황형 금융습관 가이드 (후속 확장)</t>
  </si>
  <si>
    <t>D-4-01</t>
  </si>
  <si>
    <t>맥락별 가이드</t>
  </si>
  <si>
    <t>고지서 등록·목표 설정·전환·출금 시점에 고정비·변동비, 계획저축 등 한 문장 가이드를 노출한다. 확정 화면이 없어 MVP에서는 구현하지 않는다.</t>
  </si>
  <si>
    <t>과장된 금융 효과나 상품 가입 유도 문구가 없다.</t>
  </si>
  <si>
    <t>E-1. 프로필·보관함 진입</t>
  </si>
  <si>
    <t>E-1-01</t>
  </si>
  <si>
    <t>프로필 카드·기본 정보</t>
  </si>
  <si>
    <t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t>
  </si>
  <si>
    <t>profile, ecoAddress{label, registeredAt, matchesProfile}</t>
  </si>
  <si>
    <t>프로필 값과 표시가 일치하고, 에코마일리지 주소가 프로필 주소와 구분되어 보인다.</t>
  </si>
  <si>
    <t>시안 464의 나이·소득·취업 행 삭제 에코마일리지 등록 주소는 연동 시 받아 저장하며 프로필을 바꿔도 갱신되지 않는다 — 다음 연동 때 갱신(결정 C-8).</t>
  </si>
  <si>
    <t>E-1-02</t>
  </si>
  <si>
    <t>보관함 바로가기</t>
  </si>
  <si>
    <t>고지서 보관함(A-2-12), 리포트 보관함(E-2-01) 카드를 둔다.</t>
  </si>
  <si>
    <t>각 화면으로 이동한다.</t>
  </si>
  <si>
    <t>E-2. 리포트 보관함</t>
  </si>
  <si>
    <t>E-2-01</t>
  </si>
  <si>
    <t>리포트 보관함</t>
  </si>
  <si>
    <t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t>
  </si>
  <si>
    <t>GET /reports?type&amp;year → {reportId, type, yearMonth, createdAt, targetScreen}</t>
  </si>
  <si>
    <t>리포트 생성됨</t>
  </si>
  <si>
    <t>내역 없음 → 빈 상태, 데이터 갱신 중 → 안내</t>
  </si>
  <si>
    <t>목록에서 해당 월 대상 화면으로 이동한다.</t>
  </si>
  <si>
    <t>MY-04</t>
  </si>
  <si>
    <t>E-2-02</t>
  </si>
  <si>
    <t>월별 리포트 자동 생성·다운로드</t>
  </si>
  <si>
    <t>매월 말 진단·전달 리포트 내용을 저장하고 PDF/이미지로 다운로드한다.</t>
  </si>
  <si>
    <t>report snapshot</t>
  </si>
  <si>
    <t>월말 배치</t>
  </si>
  <si>
    <t>생성일이 월말로 기록된다.</t>
  </si>
  <si>
    <t>반영된 팀 결정 사항</t>
  </si>
  <si>
    <t>#</t>
  </si>
  <si>
    <t>주제</t>
  </si>
  <si>
    <t>결정</t>
  </si>
  <si>
    <t>반영 ID</t>
  </si>
  <si>
    <t>A-1</t>
  </si>
  <si>
    <t>마일리지 현금 전환 UX</t>
  </si>
  <si>
    <t>외부 누리집 이동 → 복귀 시 자동 "전환 완료" 처리</t>
  </si>
  <si>
    <t>D-2-02, B-5-03</t>
  </si>
  <si>
    <t>A-2</t>
  </si>
  <si>
    <t>출금 계좌번호 표시</t>
  </si>
  <si>
    <t>시안대로 전체 표시 (마스킹 안 함)</t>
  </si>
  <si>
    <t>D-1-04, D-3-01</t>
  </si>
  <si>
    <t>A-3</t>
  </si>
  <si>
    <t>같은 달 고지서 중복 등록</t>
  </si>
  <si>
    <t>항목 단위 중복 차단</t>
  </si>
  <si>
    <t>A-4</t>
  </si>
  <si>
    <t>로그인</t>
  </si>
  <si>
    <t>데모 사용자, 이름만 입력</t>
  </si>
  <si>
    <t>A-5</t>
  </si>
  <si>
    <t>외부 연동 방식</t>
  </si>
  <si>
    <t>시드 데이터 모의. 팀원본 엔드포인트명은 내부 API로 사용</t>
  </si>
  <si>
    <t>A-6</t>
  </si>
  <si>
    <t>MVP 시드 계좌 1건, 본인 인증은 P2. 계좌 원문 로그 금지</t>
  </si>
  <si>
    <t>D-3-01, D-3-06, COM-11</t>
  </si>
  <si>
    <t>B-1</t>
  </si>
  <si>
    <t>온보딩 03 청년 조건 화면</t>
  </si>
  <si>
    <t>삭제. 온보딩은 이름 → 주거 프로필 2화면. 마이페이지 기본 정보에서도 제거</t>
  </si>
  <si>
    <t>A-1-05, E-1-01</t>
  </si>
  <si>
    <t>B-2</t>
  </si>
  <si>
    <t>하단 탭명</t>
  </si>
  <si>
    <t>진단 · 혜택 · What-if · 포켓 · 마이페이지, What-if가 홈</t>
  </si>
  <si>
    <t>B-3</t>
  </si>
  <si>
    <t>디자인 테마 통일</t>
  </si>
  <si>
    <t>design-system.md 기준, 구현 단계에서 FE 2인. 시안 재작업 없음</t>
  </si>
  <si>
    <t>B-4</t>
  </si>
  <si>
    <t>포켓 빈 화면 문구</t>
  </si>
  <si>
    <t>"같은 수령 건은 한 번만 적립돼요"</t>
  </si>
  <si>
    <t>2026-09-03 API 명세서 작성 중 확정</t>
  </si>
  <si>
    <t>C-1</t>
  </si>
  <si>
    <t>마지막 방문 탭 복원</t>
  </si>
  <si>
    <t>기능 자체 제외. 온보딩 완료 후에는 항상 What-if 탭(홈)으로 진입</t>
  </si>
  <si>
    <t>C-2</t>
  </si>
  <si>
    <t>포켓 이름</t>
  </si>
  <si>
    <t>"그린포켓" 고정. 변경 기능·컬럼 없음</t>
  </si>
  <si>
    <t>D-1-01, D-3-05</t>
  </si>
  <si>
    <t>C-3</t>
  </si>
  <si>
    <t>고지서 묶음·수정 이력</t>
  </si>
  <si>
    <t>관리하지 않음. 조회·수정·삭제는 레코드 단위, updated_at 만 갱신</t>
  </si>
  <si>
    <t>C-4</t>
  </si>
  <si>
    <t>DB 제약</t>
  </si>
  <si>
    <t>FK·UNIQUE·CHECK·AUTO_INCREMENT를 배포용 DDL(greenpocket_schema.sql)에 복원. ERD Cloud export는 다이어그램 원본으로만 사용</t>
  </si>
  <si>
    <t>COM-10 외 전반</t>
  </si>
  <si>
    <t>C-5</t>
  </si>
  <si>
    <t>출처 링크</t>
  </si>
  <si>
    <t>source_url 없이 기관명(source_name·source_org)만 화면에 노출</t>
  </si>
  <si>
    <t>A-3-01, B-3-01</t>
  </si>
  <si>
    <t>C-6</t>
  </si>
  <si>
    <t>미션 표시 스냅샷</t>
  </si>
  <si>
    <t>저장하지 않고 mission_catalog를 매번 조인</t>
  </si>
  <si>
    <t>B-3-03, B-4-09</t>
  </si>
  <si>
    <t>C-7</t>
  </si>
  <si>
    <t>리포트 재계산 대상</t>
  </si>
  <si>
    <t>source_batch_id 없이 (user_id, report_month)로 찾아 재계산</t>
  </si>
  <si>
    <t>A-3-10, B-4-02</t>
  </si>
  <si>
    <t>C-8</t>
  </si>
  <si>
    <t>에코마일리지 주소</t>
  </si>
  <si>
    <t>누리집에 등록된 주소를 연동 시 받아 저장하고 마이페이지에 표시. 프로필 주소와 별개</t>
  </si>
  <si>
    <t>E-1-01, B-1-08</t>
  </si>
  <si>
    <t>C-9</t>
  </si>
  <si>
    <t>DELETE FROM app_user 한 줄 + FK CASCADE (C-4로 해결)</t>
  </si>
  <si>
    <t>C-10</t>
  </si>
  <si>
    <t>녹색생활실천 항목 상한</t>
  </si>
  <si>
    <t>값 확정 전까지 null로 두고 화면에 상한을 표시하지 않음</t>
  </si>
  <si>
    <t>C-1-03, C-2-04</t>
  </si>
  <si>
    <t>C-11</t>
  </si>
  <si>
    <t>지역난방</t>
  </si>
  <si>
    <t>미지원 확정. 배출계수 미공개로 탄소 환산 불가, utility_type은 전기·가스·수도 3종 유지</t>
  </si>
  <si>
    <t>C-12</t>
  </si>
  <si>
    <t>수도·가스 지역 평균</t>
  </si>
  <si>
    <t>데이터 미확보 확정, 추후 확보 예정. 그때까지 해당 탭 "비교 데이터 준비 중"</t>
  </si>
  <si>
    <t>C-13</t>
  </si>
  <si>
    <t>화면 예시 수치</t>
  </si>
  <si>
    <t>시안 문구를 계산값으로 수정. 합산 11.322% · 최종 12.499% · 전기 탄소 비중 82.5%</t>
  </si>
  <si>
    <t>B-2-07, B-4-06/07, B-5-01/02</t>
  </si>
  <si>
    <t>C-14</t>
  </si>
  <si>
    <t>그린포켓 계좌번호</t>
  </si>
  <si>
    <t>1005-####-####-## 형식의 사용자별 고유 번호를 가입 시 서버가 발급. 1005-1234-5678-90은 예시값</t>
  </si>
  <si>
    <t>D-1-01, COM-01, COM-13</t>
  </si>
  <si>
    <t>C-15</t>
  </si>
  <si>
    <t>행정구역 목록</t>
  </si>
  <si>
    <t>서비스 대상은 서울특별시로 한정. 행정안전부 행정표준코드를 출처로 참고하고 런타임에는 서울 25개 자치구 JSON 고정 목록 사용</t>
  </si>
  <si>
    <t>C-16</t>
  </si>
  <si>
    <t>포켓 거래 내역 구성</t>
  </si>
  <si>
    <t>포켓 홈에는 적립·출금 구분 없이 최신 거래 4건을 표시하고, 전체 내역 화면은 전체·적립·출금 탭으로 필터링. 전환 확인 후 에코마일리지 상품 신청 페이지로 이동</t>
  </si>
  <si>
    <t>D-1-04, D-1-05, D-2-02</t>
  </si>
  <si>
    <t>C-17</t>
  </si>
  <si>
    <t>JWT 회원 인증</t>
  </si>
  <si>
    <t>이메일·비밀번호 회원가입·로그인, Access Token 30분, Refresh Token 14일 HttpOnly 쿠키·해시 저장·회전. X-Demo-Key는 개발·시연 프로필 전용</t>
  </si>
  <si>
    <t>COM-01, COM-13~16</t>
  </si>
  <si>
    <t>C-18</t>
  </si>
  <si>
    <t>실천 다시 고르기 추천</t>
  </si>
  <si>
    <t>동일 deviceGroup의 강화 미션 교체를 우선하고 증가분만 합계에 반영. 부족분은 다른 deviceGroup 추가 추천. 자동 변경 금지</t>
  </si>
  <si>
    <t>B-3-04, B-4-09</t>
  </si>
  <si>
    <t>C-19</t>
  </si>
  <si>
    <t>청년 실행 가능 미션</t>
  </si>
  <si>
    <t>요금별 9~12개 카탈로그, 화면 6~9개 노출. 공사·설비 교체·전문업체 작업 제외. 난이도는 반복 습관 강도</t>
  </si>
  <si>
    <t>B-3-01, B-3-05</t>
  </si>
  <si>
    <t>C-20</t>
  </si>
  <si>
    <t>회복 가능성 기반 목표 하향</t>
  </si>
  <si>
    <t>requiredRate ÷ 목표 구간 하한이 1.5 이상이거나 추천 미션으로 필요 감축률을 채우지 못하면 한 단계 하향 제안. 자동 변경 금지</t>
  </si>
  <si>
    <t>B-4-08, B-4-09</t>
  </si>
  <si>
    <t>화면 ID 체계 (팀원본 채택, ONB-03 삭제)</t>
  </si>
  <si>
    <t>화면 ID</t>
  </si>
  <si>
    <t>화면명</t>
  </si>
  <si>
    <t>시안 파일</t>
  </si>
  <si>
    <t>시작·이름 등록</t>
  </si>
  <si>
    <t>온보딩 01 · 시작.png</t>
  </si>
  <si>
    <t>주거 프로필</t>
  </si>
  <si>
    <t>온보딩 02 · 주거 프로필.png</t>
  </si>
  <si>
    <t>저장하고 시작하기 버튼을 이 화면으로 이동</t>
  </si>
  <si>
    <t>고지서 미등록 메인</t>
  </si>
  <si>
    <t>고지서 image 438</t>
  </si>
  <si>
    <t>사진·직접 입력 선택</t>
  </si>
  <si>
    <t>고지서 image 439</t>
  </si>
  <si>
    <t>OCR 분석 중</t>
  </si>
  <si>
    <t>고지서 image 440</t>
  </si>
  <si>
    <t>OCR 결과 확인</t>
  </si>
  <si>
    <t>고지서 image 441</t>
  </si>
  <si>
    <t>고지서 image 442·443</t>
  </si>
  <si>
    <t>직접 입력 폼 겸용</t>
  </si>
  <si>
    <t>생활요금 최종 확인</t>
  </si>
  <si>
    <t>고지서 image 444</t>
  </si>
  <si>
    <t>생활비 분석 메인</t>
  </si>
  <si>
    <t>고지서 Group 15</t>
  </si>
  <si>
    <t>고지서 상세·수정</t>
  </si>
  <si>
    <t>— (시안 없음)</t>
  </si>
  <si>
    <t>AN-05 폼 재사용 + 삭제</t>
  </si>
  <si>
    <t>녹색생활실천 미참여</t>
  </si>
  <si>
    <t>혜택 3</t>
  </si>
  <si>
    <t>녹색생활실천 참여 메인</t>
  </si>
  <si>
    <t>혜택 2</t>
  </si>
  <si>
    <t>혜택 1</t>
  </si>
  <si>
    <t>에코마일리지 미연동</t>
  </si>
  <si>
    <t>What-if 03</t>
  </si>
  <si>
    <t>사용량 불러오는 중</t>
  </si>
  <si>
    <t>What-if 04</t>
  </si>
  <si>
    <t>목표 미설정 메인</t>
  </si>
  <si>
    <t>What-if 05</t>
  </si>
  <si>
    <t>평가 기간 목표 정하기</t>
  </si>
  <si>
    <t>What-if 06</t>
  </si>
  <si>
    <t>미등록 요금 목표 상태</t>
  </si>
  <si>
    <t>What-if 07</t>
  </si>
  <si>
    <t>목표 설정 후 메인</t>
  </si>
  <si>
    <t>What-if 08</t>
  </si>
  <si>
    <t>홈 역할</t>
  </si>
  <si>
    <t>What-if 09</t>
  </si>
  <si>
    <t>What-if 10</t>
  </si>
  <si>
    <t>평가 종료 팝업</t>
  </si>
  <si>
    <t>What-if 05b</t>
  </si>
  <si>
    <t>평가 결과 상세</t>
  </si>
  <si>
    <t>What-if 11</t>
  </si>
  <si>
    <t>마일리지 적립·현금 전환</t>
  </si>
  <si>
    <t>What-if 12</t>
  </si>
  <si>
    <t>계좌 미등록 메인</t>
  </si>
  <si>
    <t>포켓 Group 13</t>
  </si>
  <si>
    <t>계좌 등록 메인</t>
  </si>
  <si>
    <t>포켓 Group 14·16</t>
  </si>
  <si>
    <t>포켓 image 470</t>
  </si>
  <si>
    <t>출금 완료</t>
  </si>
  <si>
    <t>포켓 image 451</t>
  </si>
  <si>
    <t>적립 내역</t>
  </si>
  <si>
    <t>포켓 image 454</t>
  </si>
  <si>
    <t>그린포켓 관리</t>
  </si>
  <si>
    <t>포켓 image 446</t>
  </si>
  <si>
    <t>출금계좌 등록·변경</t>
  </si>
  <si>
    <t>마이페이지 메인</t>
  </si>
  <si>
    <t>마이페이지 image 464</t>
  </si>
  <si>
    <t>나이·소득·취업 행 제거</t>
  </si>
  <si>
    <t>MY-02</t>
  </si>
  <si>
    <t>기본 정보 수정</t>
  </si>
  <si>
    <t>— (ONB-01·02 폼 재사용)</t>
  </si>
  <si>
    <t>마이페이지 image 455</t>
  </si>
  <si>
    <t>마이페이지 image 473</t>
  </si>
  <si>
    <t>본선 40시간 MVP 최종 컷라인</t>
  </si>
  <si>
    <t>① P0으로 실제 구현할 흐름</t>
  </si>
  <si>
    <t>데모 시작(이름 입력)과 5탭 내비게이션, What-if 홈 진입</t>
  </si>
  <si>
    <t>지역·주거 형태·평수 프로필 입력(2화면)과 마이페이지 조회·수정</t>
  </si>
  <si>
    <t>관리비 통합·개별 전기·개별 수도·개별 도시가스 고지서 고정 템플릿 OCR → 인식 결과 확인 → 항목 수정 → 요약 확정 → 저장, 직접 입력 대체 경로, 항목 단위 중복 차단</t>
  </si>
  <si>
    <t>진단: 월 생활요금 합계, 지역 평균 비교(항목 탭·차액·6개월 추이), 빈 상태</t>
  </si>
  <si>
    <t>What-if: 연동 전 → 연동 로딩 → 기준 사용량·요금별 비중 → 목표 미설정</t>
  </si>
  <si>
    <t>목표 정하기: 3개 세그먼트, 구간 칩, 목표 사용량·예상 절감액, 실천 미션 선택·합산 규칙, 합산 감축률·예상 마일리지, 저장</t>
  </si>
  <si>
    <t>What-if 메인: 평가 기간 진행 카드, 전달 리포트 배너, 목표 카드, 월 감축률 계산</t>
  </si>
  <si>
    <t>전달 리포트 상세(결과·원인·처방·월별 막대)</t>
  </si>
  <si>
    <t>평가 결과 화면 → 마일리지 적립 확정 → 현금으로 바꾸기(외부 이동 → 복귀 시 전환 완료)</t>
  </si>
  <si>
    <t>혜택: 미참여 소개 → 연동 → 월 실천 현황·전체 항목 목록, 지급 완료 → 포켓 입금</t>
  </si>
  <si>
    <t>포켓: 잔액·최근 내역·전체 내역, 마일리지 전환, 출금 계좌·출금 신청(멱등)·출금 완료</t>
  </si>
  <si>
    <t>로딩·빈 결과·오류·재시도, 시드 적재, 데모 초기화</t>
  </si>
  <si>
    <t>② P0 완료 후 추가 순서</t>
  </si>
  <si>
    <t>작년 동월 비교(A-3-06), 청구 월 선택(A-3-09)</t>
  </si>
  <si>
    <t>미등록 요금 탭(B-2-06), 절감률 환산(B-3-02), 오늘의 실천 체크(B-3-05)</t>
  </si>
  <si>
    <t>남은 기간 역산·실천 다시 고르기(B-4-08·09), 참여신청 배너(B-4-05)</t>
  </si>
  <si>
    <t>결산 알림 모달(B-5-01), 다음 평가 기간 전환(B-5-04)</t>
  </si>
  <si>
    <t>실천항목 상세·연간 한도(C-2-02·04)</t>
  </si>
  <si>
    <t>출금 내역·포켓 관리 화면(D-3-04·05)</t>
  </si>
  <si>
    <t>고지서 보관함·상세·삭제(A-2-12·13), 리포트 보관함(E-2-01)</t>
  </si>
  <si>
    <t>공통 UI 규칙 통일(COM-04), 개인정보 안내(COM-11)</t>
  </si>
  <si>
    <t>③ MVP 명시적 제외 범위</t>
  </si>
  <si>
    <t>청년 지원제도 매칭·신청 관리와 청년 조건 입력 화면(결정 B-1로 온보딩 03 삭제)</t>
  </si>
  <si>
    <t>로그인·회원가입·소셜 인증(결정 A-4), 푸시 알림</t>
  </si>
  <si>
    <t>공식 요금표 기반 전기 요금 계산 엔진, 절감률 직접 입력형 What-if — 에코마일리지 구간 방식으로 대체</t>
  </si>
  <si>
    <t>고지서 기반 확인 절감 참고액 적립 — 덜 낸 요금은 성과로만 표시</t>
  </si>
  <si>
    <t>실제 외부 연동(에코마일리지·녹색생활실천 API, 참여신청·현금 전환 실제 처리) — 시드 기반 모의로 대체(결정 A-5)</t>
  </si>
  <si>
    <t>실계좌·오픈뱅킹·출금 계좌 본인확인(D-3-06, 결정 A-6) — 출금·전환은 모의 처리</t>
  </si>
  <si>
    <t>지역난방 — 배출계수 미공개로 미지원</t>
  </si>
  <si>
    <t>월별 리포트 자동 생성·다운로드(E-2-02), 금융습관 가이드(D-4), 서울 외 지역 에코마일리지</t>
  </si>
  <si>
    <t>핵심 비즈니스 규칙</t>
  </si>
  <si>
    <t>규칙</t>
  </si>
  <si>
    <t>내용</t>
  </si>
  <si>
    <t>원화 우선</t>
  </si>
  <si>
    <t>감축률과 함께 줄어드는 요금 −44,090원, 지역 평균보다 +4,300원처럼 원화 영향을 먼저 보여준다.</t>
  </si>
  <si>
    <t>돈의 3단계 분리</t>
  </si>
  <si>
    <t>① 예상 마일리지(평가 진행 중 추정치, What-if) → ② 적립된 마일리지(평가 확정, 아직 현금 아님) → ③ 그린포켓 입금(실제 잔액). 라벨과 색상으로 항상 구분한다.</t>
  </si>
  <si>
    <t>적립 근거 제한</t>
  </si>
  <si>
    <t>포켓 잔액은 마일리지 전환 입금과 녹색생활실천 지급 완료 입금만 합산한다. 예상 마일리지·적립 예정 포인트·"덜 낸 요금"은 잔액에 더하지 않는다.</t>
  </si>
  <si>
    <t>사용자 동의 필수</t>
  </si>
  <si>
    <t>명시적 동의 없이 마일리지 전환과 출금을 실행하지 않는다.</t>
  </si>
  <si>
    <t>중복 방지</t>
  </si>
  <si>
    <t>평가 회차당 전환 1회, 전환은 1일 1회, 녹색생활실천 월 수령은 월 1건, 출금은 멱등키. 모든 입금·출금 거래에 고유 ID를 발급한다.</t>
  </si>
  <si>
    <t>기준선 이원화</t>
  </si>
  <si>
    <t>진단은 같은 지역 가구 평균(+작년 동월), What-if는 에코마일리지 규칙대로 직전 2년 같은 기간 평균. 개인 과거 이력은 에코마일리지 연동값에 한해 사용한다.</t>
  </si>
  <si>
    <t>판정 근거 공개</t>
  </si>
  <si>
    <t>미션 절감률에는 출처 수치·산출 근거·기관을, 마일리지에는 기준 요금·평가 기간 요금·줄인 금액을 함께 표시한다.</t>
  </si>
  <si>
    <t>불확실한 수치 미표시</t>
  </si>
  <si>
    <t>배출계수·비교 기준이 검증되지 않으면 숫자를 만들지 않는다. 절감률은 모두 "추정" 문구를 붙이고, 달성 불가능한 역산 결과에 확정 표현을 쓰지 않는다.</t>
  </si>
  <si>
    <t>앱은 사용자 선택을 말없이 바꾸지 않는다</t>
  </si>
  <si>
    <t>실천 재선택과 목표 구간 하향은 제안만 한다. 목표 하향은 횟수가 아니라 남은 기간의 회복 부담과 추천 미션 충족 가능성으로 판단하며 사용자가 직접 선택해야 적용한다.</t>
  </si>
  <si>
    <t>시차 규칙</t>
  </si>
  <si>
    <t>월 페이스 판정은 진단 탭 고지서로, 최종 확정은 에코마일리지 누리집 기준으로 한다. 두 값의 차이는 화면에 명시한다.</t>
  </si>
  <si>
    <t>처리 중을 완료로 표시하지 않는다</t>
  </si>
  <si>
    <t>OCR·연동·전환·출금의 처리 중·실패 상태를 완료 화면으로 보여주지 않는다. 계좌번호 원문은 로그에 남기지 않는다.</t>
  </si>
  <si>
    <t>Green What-if 계산식</t>
  </si>
  <si>
    <t>계산 항목</t>
  </si>
  <si>
    <t>계산식·규칙</t>
  </si>
  <si>
    <t>쉬운 설명 (데모 숫자)</t>
  </si>
  <si>
    <t>기준 사용량·요금</t>
  </si>
  <si>
    <t>항목 i ∈ {전기, 도시가스, 수도}의 6개월 기준 사용량 U_base,i, 기준 요금 B_base,i (에코마일리지 연동값, 직전 2년 같은 기간 평균)</t>
  </si>
  <si>
    <t>작년 이맘때 우리 집 성적표. 전기 1,340kWh · 268,000원</t>
  </si>
  <si>
    <t>목표 절감률</t>
  </si>
  <si>
    <t>선택 구간의 하한 r_i ∈ {5, 10, 15} (%)</t>
  </si>
  <si>
    <t>10~15% 칩을 고르면 r = 10</t>
  </si>
  <si>
    <t>목표 사용량</t>
  </si>
  <si>
    <t>U_target,i = U_base,i × (1 − r_i ÷ 100)</t>
  </si>
  <si>
    <t>1,340 × 0.9 = 1,206kWh</t>
  </si>
  <si>
    <t>S_i = B_base,i × r_i ÷ 100</t>
  </si>
  <si>
    <t>268,000 × 10% = 26,800원. 요금표 계산 없이 비례</t>
  </si>
  <si>
    <t>온실가스 환산</t>
  </si>
  <si>
    <t>E = Σ U_i × f_i, f_전기 = 424 g/kWh · f_수도 = 332 g/㎥ · f_가스 = 2,240 g/㎥ (등록 항목만)</t>
  </si>
  <si>
    <t>kWh와 ㎥를 탄소 그램이라는 공통 단위로 바꿔 더한다</t>
  </si>
  <si>
    <t>합산 감축률</t>
  </si>
  <si>
    <t>R = (E_base − E_target) ÷ E_base × 100</t>
  </si>
  <si>
    <t>전기 10%·가스 15%·수도 5% → 탄소 합산 11.322%</t>
  </si>
  <si>
    <t>지급 구간</t>
  </si>
  <si>
    <t>5 ≤ R &lt; 10 → 10,000M, 10 ≤ R &lt; 15 → 30,000M, R ≥ 15 → 50,000M, R &lt; 5 → 0 (1M = 1원, 연 최대 100,000M)</t>
  </si>
  <si>
    <t>11.322% → 30,000M</t>
  </si>
  <si>
    <t>월 감축률</t>
  </si>
  <si>
    <t>R_m = (E_base,m − E_m) ÷ E_base,m × 100. E_base,m = 직전 2년 같은 달 평균 환산, E_m = 진단 탭 고지서 환산</t>
  </si>
  <si>
    <t>중간고사 점수. 7월 고지서 → 1%</t>
  </si>
  <si>
    <t>평가 기간 누적</t>
  </si>
  <si>
    <t>R_cum = (Σ E_base,m − Σ E_m) ÷ Σ E_base,m × 100 (등록된 달만)</t>
  </si>
  <si>
    <t>4~7월 합쳐 9%</t>
  </si>
  <si>
    <t>필요 월 감축률·회복 부담</t>
  </si>
  <si>
    <t>R_req = (r_target × 6 − Σ R_m) ÷ 남은 개월, Q_recovery = R_req ÷ r_target. 낮출 구간이 있고 Q_recovery ≥ 1.5이거나 추천 미션 합계가 R_req 미만이면 한 단계 하향 제안</t>
  </si>
  <si>
    <t>목표 10%에서 남은 기간 필요율 15%면 1.5배 — 5~10% 구간 제안</t>
  </si>
  <si>
    <t>미션 절감률</t>
  </si>
  <si>
    <t>p_j = 출처 절감량_j ÷ (U_base,i ÷ 6) × 100, 상한 전기 30% · 수도 20%</t>
  </si>
  <si>
    <t>40kWh ÷ 223kWh = 18%</t>
  </si>
  <si>
    <t>미션 합계</t>
  </si>
  <si>
    <t>같은 기기 그룹은 최대값 하나만: P = Σ_group max(p_j)</t>
  </si>
  <si>
    <t>냉방 26℃와 에어컨 1시간은 같은 에어컨 → 큰 것 하나만</t>
  </si>
  <si>
    <t>녹색생활실천 예정액</t>
  </si>
  <si>
    <t>예정액 = 유효 횟수 × 단가, 항목 상한 적용</t>
  </si>
  <si>
    <t>전자영수증 24건 × 10원 = 240원</t>
  </si>
  <si>
    <t>지역 평균 차액</t>
  </si>
  <si>
    <t>사용자 금액 − 같은 지역 가구 평균 금액</t>
  </si>
  <si>
    <t>43,200 − 38,900 = +4,300원</t>
  </si>
  <si>
    <t>작년 동월 차액</t>
  </si>
  <si>
    <t>올해 금액 − 작년 동월 금액</t>
  </si>
  <si>
    <t>43,200 − 40,100 = +3,100원</t>
  </si>
  <si>
    <t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t>
  </si>
  <si>
    <t>개발 착수 전 확인이 필요한 사항</t>
  </si>
  <si>
    <t>확인 항목</t>
  </si>
  <si>
    <t>관련 ID</t>
  </si>
  <si>
    <t>담당</t>
  </si>
  <si>
    <t>방법</t>
  </si>
  <si>
    <t>상태·결과</t>
  </si>
  <si>
    <t>에코마일리지 현금 전환이 자동인지 회차마다 신청인지</t>
  </si>
  <si>
    <t>수현</t>
  </si>
  <si>
    <t>120다산콜</t>
  </si>
  <si>
    <t>지역난방 탄소배출계수 미공개·수집처 부재 → 지역난방 가구 처리</t>
  </si>
  <si>
    <t>B-0, B-1-04</t>
  </si>
  <si>
    <t>2026-09-03 미지원 확정 — 배출계수 미공개로 탄소 환산 불가. utility_type 3종 유지, 데모 페르소나는 도시가스 사용 (결정 C-11)</t>
  </si>
  <si>
    <t>한전 가구평균 전력사용량 API 인증키 발급 + 최신 제공 월 (데모 청구 월 조정)</t>
  </si>
  <si>
    <t>A-3-01, COM-09</t>
  </si>
  <si>
    <t>유현</t>
  </si>
  <si>
    <t>전력데이터 개방 포털 회원가입</t>
  </si>
  <si>
    <t>수도·도시가스 시군구 평균 공개 데이터 존재 여부 (없으면 해당 탭 준비 중)</t>
  </si>
  <si>
    <t>A-3-01, A-3-07</t>
  </si>
  <si>
    <t>공공데이터포털</t>
  </si>
  <si>
    <t>2026-09-03 미확보 확정, 추후 확보 예정 — 그때까지 해당 탭 "비교 데이터 준비 중"(available:false) (결정 C-12)</t>
  </si>
  <si>
    <t>관리비 통합·개별 전기·개별 수도·개별 도시가스 고지서 OCR 샘플 확보 + 인식률</t>
  </si>
  <si>
    <t>준수</t>
  </si>
  <si>
    <t>합성 샘플 제작 후 OCR API 테스트</t>
  </si>
  <si>
    <t>2026-09-06 합성 샘플 및 CLOVA 템플릿 등록·테스트 완료 — 관리비 43341, 전기 43345, 수도 43347, 도시가스 43348</t>
  </si>
  <si>
    <t>녹색생활실천 항목별 상한(월/연) 값</t>
  </si>
  <si>
    <t>아영</t>
  </si>
  <si>
    <t>탄소중립포인트 누리집</t>
  </si>
  <si>
    <t>값 확정 전까지 상한을 null로 두고 화면에 표시하지 않는다. 값은 계속 확인 (결정 C-10)</t>
  </si>
  <si>
    <t>에코마일리지 시드 데이터(2024·2025년 4~9월 평균, 월별 사용량)와 화면 예시 수치 일치</t>
  </si>
  <si>
    <t>COM-09, B-1-05</t>
  </si>
  <si>
    <t>민철</t>
  </si>
  <si>
    <t>시드 제작 시 검산</t>
  </si>
  <si>
    <t>불일치 확인 — 시안 10.5%·12%·83%는 기준값·계수로 계산하면 11.322%·12.499%·82.5%. 시안 문구를 계산값으로 수정하기로 (결정 C-13)</t>
  </si>
  <si>
    <t>외부 OCR 서비스의 이미지 보관기간·모델 학습 재사용·국외 처리 여부</t>
  </si>
  <si>
    <t>A-2-04, COM-11</t>
  </si>
  <si>
    <t>OCR 서비스 약관</t>
  </si>
  <si>
    <t>상태·결과 열은 담당자가 채운다.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</si>
</sst>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</numFmts>
  <fonts count="17">
    <font>
      <sz val="11"/>
      <color theme="1"/>
      <name val="Calibri"/>
    </font>
    <font>
      <sz val="10"/>
      <name val="Arial"/>
    </font>
    <font>
      <sz val="10"/>
      <name val="Arial"/>
    </font>
    <font>
      <b/>
      <sz val="14"/>
      <name val="Noto Sans CJK SC"/>
    </font>
    <font>
      <b/>
      <sz val="14"/>
      <name val="Arial"/>
      <family val="2"/>
    </font>
    <font>
      <b/>
      <sz val="10"/>
      <name val="Noto Sans CJK SC"/>
    </font>
    <font>
      <sz val="10"/>
      <name val="Arial"/>
      <family val="2"/>
    </font>
    <font>
      <sz val="10"/>
      <name val="Noto Sans CJK SC"/>
    </font>
    <font>
      <b/>
      <sz val="11"/>
      <name val="Noto Sans CJK SC"/>
    </font>
    <font>
      <b/>
      <sz val="11"/>
      <name val="Arial"/>
      <family val="2"/>
    </font>
    <font>
      <b/>
      <sz val="10"/>
      <name val="Arial"/>
      <family val="2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i/>
      <sz val="9"/>
      <color rgb="FF666666"/>
      <name val="Noto Sans CJK SC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6F0E0"/>
      </patternFill>
    </fill>
    <fill>
      <patternFill patternType="solid">
        <fgColor rgb="FFFFF4D6"/>
      </patternFill>
    </fill>
    <fill>
      <patternFill patternType="solid">
        <fgColor rgb="FFEEEEEE"/>
      </patternFill>
    </fill>
    <fill>
      <patternFill patternType="solid">
        <fgColor rgb="FFE8F0FE"/>
      </patternFill>
    </fill>
    <fill>
      <patternFill patternType="solid">
        <fgColor rgb="FFFDE9D9"/>
      </patternFill>
    </fill>
    <fill>
      <patternFill patternType="solid">
        <fgColor rgb="FF1B6B4A"/>
      </patternFill>
    </fill>
    <fill>
      <patternFill patternType="solid">
        <fgColor rgb="FFE3F1E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7">
    <xf numFmtId="0" fontId="0" fillId="0" borderId="0"/>
    <xf numFmtId="43" fontId="2" fillId="0" borderId="0"/>
    <xf numFmtId="41" fontId="2" fillId="0" borderId="0"/>
    <xf numFmtId="44" fontId="2" fillId="0" borderId="0"/>
    <xf numFmtId="42" fontId="2" fillId="0" borderId="0"/>
    <xf numFmtId="9" fontId="2" fillId="0" borderId="0"/>
    <xf numFmtId="0" fontId="15" fillId="0" borderId="0"/>
  </cellStyleXfs>
  <cellXfs count="35">
    <xf numFmtId="0" fontId="0" fillId="0" borderId="0" xfId="0"/>
    <xf numFmtId="0" fontId="3" fillId="0" borderId="0" xfId="6" applyFont="1"/>
    <xf numFmtId="0" fontId="5" fillId="0" borderId="0" xfId="6" applyFont="1"/>
    <xf numFmtId="0" fontId="8" fillId="0" borderId="0" xfId="6" applyFont="1"/>
    <xf numFmtId="0" fontId="9" fillId="0" borderId="0" xfId="6" applyFont="1"/>
    <xf numFmtId="0" fontId="11" fillId="7" borderId="1" xfId="6" applyFont="1" applyFill="1" applyBorder="1" applyAlignment="1">
      <alignment horizontal="center" vertical="top" wrapText="1"/>
    </xf>
    <xf numFmtId="0" fontId="12" fillId="7" borderId="1" xfId="6" applyFont="1" applyFill="1" applyBorder="1" applyAlignment="1">
      <alignment horizontal="center" vertical="top" wrapText="1"/>
    </xf>
    <xf numFmtId="0" fontId="10" fillId="0" borderId="1" xfId="6" applyFont="1" applyBorder="1"/>
    <xf numFmtId="0" fontId="6" fillId="0" borderId="1" xfId="6" applyFont="1" applyBorder="1" applyAlignment="1">
      <alignment horizontal="center" vertical="top" wrapText="1"/>
    </xf>
    <xf numFmtId="0" fontId="5" fillId="0" borderId="1" xfId="6" applyFont="1" applyBorder="1"/>
    <xf numFmtId="0" fontId="10" fillId="0" borderId="1" xfId="6" applyFont="1" applyBorder="1" applyAlignment="1">
      <alignment horizontal="center" vertical="top" wrapText="1"/>
    </xf>
    <xf numFmtId="0" fontId="13" fillId="0" borderId="0" xfId="6" applyFont="1"/>
    <xf numFmtId="0" fontId="6" fillId="8" borderId="1" xfId="6" applyFont="1" applyFill="1" applyBorder="1" applyAlignment="1">
      <alignment vertical="top" wrapText="1"/>
    </xf>
    <xf numFmtId="0" fontId="7" fillId="0" borderId="1" xfId="6" applyFont="1" applyBorder="1" applyAlignment="1">
      <alignment vertical="top" wrapText="1"/>
    </xf>
    <xf numFmtId="0" fontId="7" fillId="0" borderId="1" xfId="6" applyFont="1" applyBorder="1" applyAlignment="1">
      <alignment horizontal="center" vertical="top" wrapText="1"/>
    </xf>
    <xf numFmtId="0" fontId="6" fillId="0" borderId="1" xfId="6" applyFont="1" applyBorder="1" applyAlignment="1">
      <alignment vertical="top" wrapText="1"/>
    </xf>
    <xf numFmtId="0" fontId="10" fillId="0" borderId="1" xfId="6" applyFont="1" applyBorder="1" applyAlignment="1">
      <alignment vertical="top" wrapText="1"/>
    </xf>
    <xf numFmtId="0" fontId="5" fillId="0" borderId="1" xfId="6" applyFont="1" applyBorder="1" applyAlignment="1">
      <alignment vertical="top" wrapText="1"/>
    </xf>
    <xf numFmtId="0" fontId="4" fillId="0" borderId="0" xfId="6" applyFont="1"/>
    <xf numFmtId="0" fontId="14" fillId="0" borderId="0" xfId="6" applyFont="1"/>
    <xf numFmtId="0" fontId="1" fillId="0" borderId="1" xfId="6" applyFont="1" applyBorder="1" applyAlignment="1">
      <alignment vertical="top" wrapText="1"/>
    </xf>
    <xf numFmtId="0" fontId="0" fillId="0" borderId="0" xfId="6" applyFont="1" applyAlignment="1">
      <alignment wrapText="1"/>
    </xf>
    <xf numFmtId="0" fontId="1" fillId="0" borderId="1" xfId="6" applyFont="1" applyBorder="1" applyAlignment="1">
      <alignment horizontal="center" vertical="top" wrapText="1"/>
    </xf>
    <xf numFmtId="0" fontId="1" fillId="8" borderId="1" xfId="6" applyFont="1" applyFill="1" applyBorder="1" applyAlignment="1">
      <alignment vertical="top" wrapText="1"/>
    </xf>
    <xf numFmtId="0" fontId="7" fillId="6" borderId="0" xfId="6" applyFont="1" applyFill="1" applyAlignment="1">
      <alignment horizontal="center" vertical="top" wrapText="1"/>
    </xf>
    <xf numFmtId="0" fontId="0" fillId="0" borderId="0" xfId="0"/>
    <xf numFmtId="0" fontId="7" fillId="0" borderId="0" xfId="6" applyFont="1" applyAlignment="1">
      <alignment vertical="top" wrapText="1"/>
    </xf>
    <xf numFmtId="0" fontId="6" fillId="0" borderId="0" xfId="6" applyFont="1" applyAlignment="1">
      <alignment vertical="top" wrapText="1"/>
    </xf>
    <xf numFmtId="0" fontId="6" fillId="3" borderId="0" xfId="6" applyFont="1" applyFill="1" applyAlignment="1">
      <alignment horizontal="center" vertical="top" wrapText="1"/>
    </xf>
    <xf numFmtId="0" fontId="6" fillId="0" borderId="0" xfId="6" applyFont="1" applyAlignment="1">
      <alignment horizontal="center" vertical="top" wrapText="1"/>
    </xf>
    <xf numFmtId="0" fontId="6" fillId="2" borderId="0" xfId="6" applyFont="1" applyFill="1" applyAlignment="1">
      <alignment horizontal="center" vertical="top" wrapText="1"/>
    </xf>
    <xf numFmtId="0" fontId="6" fillId="4" borderId="0" xfId="6" applyFont="1" applyFill="1" applyAlignment="1">
      <alignment horizontal="center" vertical="top" wrapText="1"/>
    </xf>
    <xf numFmtId="0" fontId="7" fillId="5" borderId="0" xfId="6" applyFont="1" applyFill="1" applyAlignment="1">
      <alignment horizontal="center" vertical="top" wrapText="1"/>
    </xf>
    <xf numFmtId="0" fontId="7" fillId="0" borderId="0" xfId="6" applyFont="1" applyAlignment="1">
      <alignment horizontal="center" vertical="top" wrapText="1"/>
    </xf>
    <xf numFmtId="0" fontId="13" fillId="0" borderId="0" xfId="6" applyFont="1" applyAlignment="1">
      <alignment vertical="top" wrapText="1"/>
    </xf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  <cellStyle name="표준" xfId="0" builtinId="0"/>
  </cellStyles>
  <dxfs count="5">
    <dxf>
      <fill>
        <patternFill>
          <bgColor rgb="FFFDE9D9"/>
        </patternFill>
      </fill>
    </dxf>
    <dxf>
      <fill>
        <patternFill>
          <bgColor rgb="FFE8F0FE"/>
        </patternFill>
      </fill>
    </dxf>
    <dxf>
      <fill>
        <patternFill>
          <bgColor rgb="FFEEEEEE"/>
        </patternFill>
      </fill>
    </dxf>
    <dxf>
      <fill>
        <patternFill>
          <bgColor rgb="FFFFF4D6"/>
        </patternFill>
      </fill>
    </dxf>
    <dxf>
      <fill>
        <patternFill>
          <bgColor rgb="FFD6F0E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4A"/>
      <rgbColor rgb="FFBBBBBB"/>
      <rgbColor rgb="FF808080"/>
      <rgbColor rgb="FF9999FF"/>
      <rgbColor rgb="FF993366"/>
      <rgbColor rgb="FFFFF4D6"/>
      <rgbColor rgb="FFE3F1EA"/>
      <rgbColor rgb="FF660066"/>
      <rgbColor rgb="FFFF8080"/>
      <rgbColor rgb="FF0066CC"/>
      <rgbColor rgb="FFEEEE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6F0E0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workbookViewId="0"/>
  </sheetViews>
  <sheetFormatPr defaultColWidth="8.6328125" defaultRowHeight="14.5"/>
  <cols>
    <col min="1" max="1" width="22" customWidth="1"/>
    <col min="2" max="7" width="14" customWidth="1"/>
    <col min="8" max="8" width="70" customWidth="1"/>
  </cols>
  <sheetData>
    <row r="1" spans="1:8" ht="21.65" customHeight="1">
      <c r="A1" s="1" t="s">
        <v>0</v>
      </c>
    </row>
    <row r="3" spans="1:8" ht="15" customHeight="1">
      <c r="A3" s="2" t="s">
        <v>1</v>
      </c>
      <c r="B3" s="27" t="s">
        <v>2</v>
      </c>
      <c r="C3" s="25"/>
      <c r="D3" s="25"/>
      <c r="E3" s="25"/>
      <c r="F3" s="25"/>
      <c r="G3" s="25"/>
      <c r="H3" s="25"/>
    </row>
    <row r="4" spans="1:8" ht="15" customHeight="1">
      <c r="A4" s="2" t="s">
        <v>3</v>
      </c>
      <c r="B4" s="26" t="s">
        <v>4</v>
      </c>
      <c r="C4" s="25"/>
      <c r="D4" s="25"/>
      <c r="E4" s="25"/>
      <c r="F4" s="25"/>
      <c r="G4" s="25"/>
      <c r="H4" s="25"/>
    </row>
    <row r="5" spans="1:8" ht="15" customHeight="1">
      <c r="A5" s="2" t="s">
        <v>5</v>
      </c>
      <c r="B5" s="26" t="s">
        <v>6</v>
      </c>
      <c r="C5" s="25"/>
      <c r="D5" s="25"/>
      <c r="E5" s="25"/>
      <c r="F5" s="25"/>
      <c r="G5" s="25"/>
      <c r="H5" s="25"/>
    </row>
    <row r="6" spans="1:8" ht="15" customHeight="1">
      <c r="A6" s="2" t="s">
        <v>7</v>
      </c>
      <c r="B6" s="27" t="s">
        <v>8</v>
      </c>
      <c r="C6" s="25"/>
      <c r="D6" s="25"/>
      <c r="E6" s="25"/>
      <c r="F6" s="25"/>
      <c r="G6" s="25"/>
      <c r="H6" s="25"/>
    </row>
    <row r="7" spans="1:8" ht="15" customHeight="1">
      <c r="A7" s="2" t="s">
        <v>9</v>
      </c>
      <c r="B7" s="26" t="s">
        <v>10</v>
      </c>
      <c r="C7" s="25"/>
      <c r="D7" s="25"/>
      <c r="E7" s="25"/>
      <c r="F7" s="25"/>
      <c r="G7" s="25"/>
      <c r="H7" s="25"/>
    </row>
    <row r="9" spans="1:8" ht="15" customHeight="1">
      <c r="A9" s="3" t="s">
        <v>11</v>
      </c>
    </row>
    <row r="10" spans="1:8" ht="31.5" customHeight="1">
      <c r="A10" s="26" t="s">
        <v>12</v>
      </c>
      <c r="B10" s="25"/>
      <c r="C10" s="25"/>
      <c r="D10" s="25"/>
      <c r="E10" s="25"/>
      <c r="F10" s="25"/>
      <c r="G10" s="25"/>
      <c r="H10" s="25"/>
    </row>
    <row r="12" spans="1:8" ht="17.149999999999999" customHeight="1">
      <c r="A12" s="4" t="s">
        <v>13</v>
      </c>
    </row>
    <row r="13" spans="1:8" ht="36" customHeight="1">
      <c r="A13" s="2" t="s">
        <v>14</v>
      </c>
      <c r="B13" s="26" t="s">
        <v>15</v>
      </c>
      <c r="C13" s="25"/>
      <c r="D13" s="25"/>
      <c r="E13" s="25"/>
      <c r="F13" s="25"/>
      <c r="G13" s="25"/>
      <c r="H13" s="25"/>
    </row>
    <row r="14" spans="1:8" ht="54" customHeight="1">
      <c r="A14" s="2" t="s">
        <v>16</v>
      </c>
      <c r="B14" s="27" t="s">
        <v>17</v>
      </c>
      <c r="C14" s="25"/>
      <c r="D14" s="25"/>
      <c r="E14" s="25"/>
      <c r="F14" s="25"/>
      <c r="G14" s="25"/>
      <c r="H14" s="25"/>
    </row>
    <row r="15" spans="1:8" ht="36" customHeight="1">
      <c r="A15" s="2" t="s">
        <v>18</v>
      </c>
      <c r="B15" s="27" t="s">
        <v>19</v>
      </c>
      <c r="C15" s="25"/>
      <c r="D15" s="25"/>
      <c r="E15" s="25"/>
      <c r="F15" s="25"/>
      <c r="G15" s="25"/>
      <c r="H15" s="25"/>
    </row>
    <row r="16" spans="1:8" ht="36" customHeight="1">
      <c r="A16" s="2" t="s">
        <v>20</v>
      </c>
      <c r="B16" s="26" t="s">
        <v>21</v>
      </c>
      <c r="C16" s="25"/>
      <c r="D16" s="25"/>
      <c r="E16" s="25"/>
      <c r="F16" s="25"/>
      <c r="G16" s="25"/>
      <c r="H16" s="25"/>
    </row>
    <row r="17" spans="1:8" ht="36" customHeight="1">
      <c r="A17" s="2" t="s">
        <v>22</v>
      </c>
      <c r="B17" s="27" t="s">
        <v>23</v>
      </c>
      <c r="C17" s="25"/>
      <c r="D17" s="25"/>
      <c r="E17" s="25"/>
      <c r="F17" s="25"/>
      <c r="G17" s="25"/>
      <c r="H17" s="25"/>
    </row>
    <row r="18" spans="1:8" ht="18" customHeight="1">
      <c r="A18" s="2" t="s">
        <v>24</v>
      </c>
      <c r="B18" s="27" t="s">
        <v>25</v>
      </c>
      <c r="C18" s="25"/>
      <c r="D18" s="25"/>
      <c r="E18" s="25"/>
      <c r="F18" s="25"/>
      <c r="G18" s="25"/>
      <c r="H18" s="25"/>
    </row>
    <row r="20" spans="1:8" ht="15" customHeight="1">
      <c r="A20" s="3" t="s">
        <v>26</v>
      </c>
    </row>
    <row r="21" spans="1:8" ht="18" customHeight="1">
      <c r="A21" s="2" t="s">
        <v>27</v>
      </c>
      <c r="B21" s="30" t="s">
        <v>28</v>
      </c>
      <c r="C21" s="25"/>
      <c r="D21" s="27" t="s">
        <v>29</v>
      </c>
      <c r="E21" s="25"/>
      <c r="F21" s="25"/>
      <c r="G21" s="25"/>
      <c r="H21" s="25"/>
    </row>
    <row r="22" spans="1:8" ht="18" customHeight="1">
      <c r="A22" s="2"/>
      <c r="B22" s="28" t="s">
        <v>30</v>
      </c>
      <c r="C22" s="25"/>
      <c r="D22" s="27" t="s">
        <v>31</v>
      </c>
      <c r="E22" s="25"/>
      <c r="F22" s="25"/>
      <c r="G22" s="25"/>
      <c r="H22" s="25"/>
    </row>
    <row r="23" spans="1:8" ht="18" customHeight="1">
      <c r="A23" s="2"/>
      <c r="B23" s="31" t="s">
        <v>32</v>
      </c>
      <c r="C23" s="25"/>
      <c r="D23" s="26" t="s">
        <v>33</v>
      </c>
      <c r="E23" s="25"/>
      <c r="F23" s="25"/>
      <c r="G23" s="25"/>
      <c r="H23" s="25"/>
    </row>
    <row r="24" spans="1:8" ht="18" customHeight="1">
      <c r="A24" s="2" t="s">
        <v>34</v>
      </c>
      <c r="B24" s="32" t="s">
        <v>35</v>
      </c>
      <c r="C24" s="25"/>
      <c r="D24" s="27" t="s">
        <v>36</v>
      </c>
      <c r="E24" s="25"/>
      <c r="F24" s="25"/>
      <c r="G24" s="25"/>
      <c r="H24" s="25"/>
    </row>
    <row r="25" spans="1:8" ht="30" customHeight="1">
      <c r="A25" s="2"/>
      <c r="B25" s="24" t="s">
        <v>37</v>
      </c>
      <c r="C25" s="25"/>
      <c r="D25" s="26" t="s">
        <v>38</v>
      </c>
      <c r="E25" s="25"/>
      <c r="F25" s="25"/>
      <c r="G25" s="25"/>
      <c r="H25" s="25"/>
    </row>
    <row r="26" spans="1:8" ht="18" customHeight="1">
      <c r="A26" s="2" t="s">
        <v>39</v>
      </c>
      <c r="B26" s="33" t="s">
        <v>40</v>
      </c>
      <c r="C26" s="25"/>
      <c r="D26" s="26" t="s">
        <v>41</v>
      </c>
      <c r="E26" s="25"/>
      <c r="F26" s="25"/>
      <c r="G26" s="25"/>
      <c r="H26" s="25"/>
    </row>
    <row r="27" spans="1:8" ht="18" customHeight="1">
      <c r="A27" s="2" t="s">
        <v>42</v>
      </c>
      <c r="B27" s="29" t="s">
        <v>43</v>
      </c>
      <c r="C27" s="25"/>
      <c r="D27" s="26" t="s">
        <v>44</v>
      </c>
      <c r="E27" s="25"/>
      <c r="F27" s="25"/>
      <c r="G27" s="25"/>
      <c r="H27" s="25"/>
    </row>
    <row r="29" spans="1:8" ht="17.149999999999999" customHeight="1">
      <c r="A29" s="3" t="s">
        <v>45</v>
      </c>
    </row>
    <row r="30" spans="1:8" ht="15" customHeight="1">
      <c r="A30" s="5" t="s">
        <v>46</v>
      </c>
      <c r="B30" s="6" t="s">
        <v>28</v>
      </c>
      <c r="C30" s="6" t="s">
        <v>30</v>
      </c>
      <c r="D30" s="6" t="s">
        <v>32</v>
      </c>
      <c r="E30" s="5" t="s">
        <v>47</v>
      </c>
      <c r="F30" s="5" t="s">
        <v>35</v>
      </c>
      <c r="G30" s="5" t="s">
        <v>37</v>
      </c>
    </row>
    <row r="31" spans="1:8" ht="15" customHeight="1">
      <c r="A31" s="7" t="s">
        <v>48</v>
      </c>
      <c r="B31" s="8">
        <f>COUNTIFS(기능명세!$B$2:$B$110,$A31,기능명세!$L$2:$L$110,"P0")</f>
        <v>13</v>
      </c>
      <c r="C31" s="8">
        <f>COUNTIFS(기능명세!$B$2:$B$110,$A31,기능명세!$L$2:$L$110,"P1")</f>
        <v>2</v>
      </c>
      <c r="D31" s="8">
        <f>COUNTIFS(기능명세!$B$2:$B$110,$A31,기능명세!$L$2:$L$110,"P2")</f>
        <v>0</v>
      </c>
      <c r="E31" s="8">
        <f t="shared" ref="E31:E36" si="0">SUM(B31:D31)</f>
        <v>15</v>
      </c>
      <c r="F31" s="8">
        <f>COUNTIFS(기능명세!$B$2:$B$110,$A31,기능명세!$M$2:$M$110,"개발")</f>
        <v>12</v>
      </c>
      <c r="G31" s="8">
        <f>COUNTIFS(기능명세!$B$2:$B$110,$A31,기능명세!$M$2:$M$110,"비개발")</f>
        <v>3</v>
      </c>
    </row>
    <row r="32" spans="1:8" ht="15" customHeight="1">
      <c r="A32" s="7" t="s">
        <v>49</v>
      </c>
      <c r="B32" s="8">
        <f>COUNTIFS(기능명세!$B$2:$B$110,$A32,기능명세!$L$2:$L$110,"P0")</f>
        <v>24</v>
      </c>
      <c r="C32" s="8">
        <f>COUNTIFS(기능명세!$B$2:$B$110,$A32,기능명세!$L$2:$L$110,"P1")</f>
        <v>5</v>
      </c>
      <c r="D32" s="8">
        <f>COUNTIFS(기능명세!$B$2:$B$110,$A32,기능명세!$L$2:$L$110,"P2")</f>
        <v>0</v>
      </c>
      <c r="E32" s="8">
        <f t="shared" si="0"/>
        <v>29</v>
      </c>
      <c r="F32" s="8">
        <f>COUNTIFS(기능명세!$B$2:$B$110,$A32,기능명세!$M$2:$M$110,"개발")</f>
        <v>28</v>
      </c>
      <c r="G32" s="8">
        <f>COUNTIFS(기능명세!$B$2:$B$110,$A32,기능명세!$M$2:$M$110,"비개발")</f>
        <v>1</v>
      </c>
    </row>
    <row r="33" spans="1:7" ht="15" customHeight="1">
      <c r="A33" s="7" t="s">
        <v>50</v>
      </c>
      <c r="B33" s="8">
        <f>COUNTIFS(기능명세!$B$2:$B$110,$A33,기능명세!$L$2:$L$110,"P0")</f>
        <v>25</v>
      </c>
      <c r="C33" s="8">
        <f>COUNTIFS(기능명세!$B$2:$B$110,$A33,기능명세!$L$2:$L$110,"P1")</f>
        <v>11</v>
      </c>
      <c r="D33" s="8">
        <f>COUNTIFS(기능명세!$B$2:$B$110,$A33,기능명세!$L$2:$L$110,"P2")</f>
        <v>0</v>
      </c>
      <c r="E33" s="8">
        <f t="shared" si="0"/>
        <v>36</v>
      </c>
      <c r="F33" s="8">
        <f>COUNTIFS(기능명세!$B$2:$B$110,$A33,기능명세!$M$2:$M$110,"개발")</f>
        <v>35</v>
      </c>
      <c r="G33" s="8">
        <f>COUNTIFS(기능명세!$B$2:$B$110,$A33,기능명세!$M$2:$M$110,"비개발")</f>
        <v>1</v>
      </c>
    </row>
    <row r="34" spans="1:7" ht="15" customHeight="1">
      <c r="A34" s="7" t="s">
        <v>51</v>
      </c>
      <c r="B34" s="8">
        <f>COUNTIFS(기능명세!$B$2:$B$110,$A34,기능명세!$L$2:$L$110,"P0")</f>
        <v>7</v>
      </c>
      <c r="C34" s="8">
        <f>COUNTIFS(기능명세!$B$2:$B$110,$A34,기능명세!$L$2:$L$110,"P1")</f>
        <v>2</v>
      </c>
      <c r="D34" s="8">
        <f>COUNTIFS(기능명세!$B$2:$B$110,$A34,기능명세!$L$2:$L$110,"P2")</f>
        <v>0</v>
      </c>
      <c r="E34" s="8">
        <f t="shared" si="0"/>
        <v>9</v>
      </c>
      <c r="F34" s="8">
        <f>COUNTIFS(기능명세!$B$2:$B$110,$A34,기능명세!$M$2:$M$110,"개발")</f>
        <v>8</v>
      </c>
      <c r="G34" s="8">
        <f>COUNTIFS(기능명세!$B$2:$B$110,$A34,기능명세!$M$2:$M$110,"비개발")</f>
        <v>1</v>
      </c>
    </row>
    <row r="35" spans="1:7" ht="15" customHeight="1">
      <c r="A35" s="7" t="s">
        <v>52</v>
      </c>
      <c r="B35" s="8">
        <f>COUNTIFS(기능명세!$B$2:$B$110,$A35,기능명세!$L$2:$L$110,"P0")</f>
        <v>12</v>
      </c>
      <c r="C35" s="8">
        <f>COUNTIFS(기능명세!$B$2:$B$110,$A35,기능명세!$L$2:$L$110,"P1")</f>
        <v>2</v>
      </c>
      <c r="D35" s="8">
        <f>COUNTIFS(기능명세!$B$2:$B$110,$A35,기능명세!$L$2:$L$110,"P2")</f>
        <v>2</v>
      </c>
      <c r="E35" s="8">
        <f t="shared" si="0"/>
        <v>16</v>
      </c>
      <c r="F35" s="8">
        <f>COUNTIFS(기능명세!$B$2:$B$110,$A35,기능명세!$M$2:$M$110,"개발")</f>
        <v>15</v>
      </c>
      <c r="G35" s="8">
        <f>COUNTIFS(기능명세!$B$2:$B$110,$A35,기능명세!$M$2:$M$110,"비개발")</f>
        <v>1</v>
      </c>
    </row>
    <row r="36" spans="1:7" ht="15" customHeight="1">
      <c r="A36" s="7" t="s">
        <v>53</v>
      </c>
      <c r="B36" s="8">
        <f>COUNTIFS(기능명세!$B$2:$B$110,$A36,기능명세!$L$2:$L$110,"P0")</f>
        <v>1</v>
      </c>
      <c r="C36" s="8">
        <f>COUNTIFS(기능명세!$B$2:$B$110,$A36,기능명세!$L$2:$L$110,"P1")</f>
        <v>2</v>
      </c>
      <c r="D36" s="8">
        <f>COUNTIFS(기능명세!$B$2:$B$110,$A36,기능명세!$L$2:$L$110,"P2")</f>
        <v>1</v>
      </c>
      <c r="E36" s="8">
        <f t="shared" si="0"/>
        <v>4</v>
      </c>
      <c r="F36" s="8">
        <f>COUNTIFS(기능명세!$B$2:$B$110,$A36,기능명세!$M$2:$M$110,"개발")</f>
        <v>4</v>
      </c>
      <c r="G36" s="8">
        <f>COUNTIFS(기능명세!$B$2:$B$110,$A36,기능명세!$M$2:$M$110,"비개발")</f>
        <v>0</v>
      </c>
    </row>
    <row r="37" spans="1:7" ht="15" customHeight="1">
      <c r="A37" s="9" t="s">
        <v>47</v>
      </c>
      <c r="B37" s="10">
        <f t="shared" ref="B37:G37" si="1">SUM(B31:B36)</f>
        <v>82</v>
      </c>
      <c r="C37" s="10">
        <f t="shared" si="1"/>
        <v>24</v>
      </c>
      <c r="D37" s="10">
        <f t="shared" si="1"/>
        <v>3</v>
      </c>
      <c r="E37" s="10">
        <f t="shared" si="1"/>
        <v>109</v>
      </c>
      <c r="F37" s="10">
        <f t="shared" si="1"/>
        <v>102</v>
      </c>
      <c r="G37" s="10">
        <f t="shared" si="1"/>
        <v>7</v>
      </c>
    </row>
    <row r="38" spans="1:7" ht="15" customHeight="1">
      <c r="A38" s="11" t="s">
        <v>54</v>
      </c>
    </row>
    <row r="40" spans="1:7" ht="15" customHeight="1">
      <c r="A40" s="3" t="s">
        <v>55</v>
      </c>
    </row>
    <row r="41" spans="1:7" ht="15" customHeight="1">
      <c r="A41" s="5" t="s">
        <v>42</v>
      </c>
      <c r="B41" s="6" t="s">
        <v>28</v>
      </c>
      <c r="C41" s="6" t="s">
        <v>30</v>
      </c>
      <c r="D41" s="6" t="s">
        <v>32</v>
      </c>
      <c r="E41" s="5" t="s">
        <v>47</v>
      </c>
    </row>
    <row r="42" spans="1:7" ht="15" customHeight="1">
      <c r="A42" s="7" t="s">
        <v>56</v>
      </c>
      <c r="B42" s="8">
        <f>COUNTIFS(기능명세!$N$2:$N$110,$A42,기능명세!$L$2:$L$110,"P0")</f>
        <v>34</v>
      </c>
      <c r="C42" s="8">
        <f>COUNTIFS(기능명세!$N$2:$N$110,$A42,기능명세!$L$2:$L$110,"P1")</f>
        <v>11</v>
      </c>
      <c r="D42" s="8">
        <f>COUNTIFS(기능명세!$N$2:$N$110,$A42,기능명세!$L$2:$L$110,"P2")</f>
        <v>0</v>
      </c>
      <c r="E42" s="8">
        <f t="shared" ref="E42:E48" si="2">SUM(B42:D42)</f>
        <v>45</v>
      </c>
    </row>
    <row r="43" spans="1:7" ht="15" customHeight="1">
      <c r="A43" s="7" t="s">
        <v>57</v>
      </c>
      <c r="B43" s="8">
        <f>COUNTIFS(기능명세!$N$2:$N$110,$A43,기능명세!$L$2:$L$110,"P0")</f>
        <v>20</v>
      </c>
      <c r="C43" s="8">
        <f>COUNTIFS(기능명세!$N$2:$N$110,$A43,기능명세!$L$2:$L$110,"P1")</f>
        <v>3</v>
      </c>
      <c r="D43" s="8">
        <f>COUNTIFS(기능명세!$N$2:$N$110,$A43,기능명세!$L$2:$L$110,"P2")</f>
        <v>2</v>
      </c>
      <c r="E43" s="8">
        <f t="shared" si="2"/>
        <v>25</v>
      </c>
    </row>
    <row r="44" spans="1:7" ht="15" customHeight="1">
      <c r="A44" s="7" t="s">
        <v>58</v>
      </c>
      <c r="B44" s="8">
        <f>COUNTIFS(기능명세!$N$2:$N$110,$A44,기능명세!$L$2:$L$110,"P0")</f>
        <v>24</v>
      </c>
      <c r="C44" s="8">
        <f>COUNTIFS(기능명세!$N$2:$N$110,$A44,기능명세!$L$2:$L$110,"P1")</f>
        <v>8</v>
      </c>
      <c r="D44" s="8">
        <f>COUNTIFS(기능명세!$N$2:$N$110,$A44,기능명세!$L$2:$L$110,"P2")</f>
        <v>0</v>
      </c>
      <c r="E44" s="8">
        <f t="shared" si="2"/>
        <v>32</v>
      </c>
    </row>
    <row r="45" spans="1:7" ht="15" customHeight="1">
      <c r="A45" s="9" t="s">
        <v>59</v>
      </c>
      <c r="B45" s="8">
        <f>COUNTIFS(기능명세!$N$2:$N$110,$A45,기능명세!$L$2:$L$110,"P0")</f>
        <v>4</v>
      </c>
      <c r="C45" s="8">
        <f>COUNTIFS(기능명세!$N$2:$N$110,$A45,기능명세!$L$2:$L$110,"P1")</f>
        <v>0</v>
      </c>
      <c r="D45" s="8">
        <f>COUNTIFS(기능명세!$N$2:$N$110,$A45,기능명세!$L$2:$L$110,"P2")</f>
        <v>0</v>
      </c>
      <c r="E45" s="8">
        <f t="shared" si="2"/>
        <v>4</v>
      </c>
    </row>
    <row r="46" spans="1:7" ht="15" customHeight="1">
      <c r="A46" s="9" t="s">
        <v>60</v>
      </c>
      <c r="B46" s="8">
        <f>COUNTIFS(기능명세!$N$2:$N$110,$A46,기능명세!$L$2:$L$110,"P0")</f>
        <v>0</v>
      </c>
      <c r="C46" s="8">
        <f>COUNTIFS(기능명세!$N$2:$N$110,$A46,기능명세!$L$2:$L$110,"P1")</f>
        <v>1</v>
      </c>
      <c r="D46" s="8">
        <f>COUNTIFS(기능명세!$N$2:$N$110,$A46,기능명세!$L$2:$L$110,"P2")</f>
        <v>1</v>
      </c>
      <c r="E46" s="8">
        <f t="shared" si="2"/>
        <v>2</v>
      </c>
    </row>
    <row r="47" spans="1:7" ht="15" customHeight="1">
      <c r="A47" s="9" t="s">
        <v>61</v>
      </c>
      <c r="B47" s="8">
        <f>COUNTIFS(기능명세!$N$2:$N$110,$A47,기능명세!$L$2:$L$110,"P0")</f>
        <v>0</v>
      </c>
      <c r="C47" s="8">
        <f>COUNTIFS(기능명세!$N$2:$N$110,$A47,기능명세!$L$2:$L$110,"P1")</f>
        <v>1</v>
      </c>
      <c r="D47" s="8">
        <f>COUNTIFS(기능명세!$N$2:$N$110,$A47,기능명세!$L$2:$L$110,"P2")</f>
        <v>0</v>
      </c>
      <c r="E47" s="8">
        <f t="shared" si="2"/>
        <v>1</v>
      </c>
    </row>
    <row r="48" spans="1:7" ht="15" customHeight="1">
      <c r="A48" s="9" t="s">
        <v>62</v>
      </c>
      <c r="B48" s="8">
        <f>COUNTIFS(기능명세!$N$2:$N$110,$A48,기능명세!$L$2:$L$110,"P0")</f>
        <v>0</v>
      </c>
      <c r="C48" s="8">
        <f>COUNTIFS(기능명세!$N$2:$N$110,$A48,기능명세!$L$2:$L$110,"P1")</f>
        <v>0</v>
      </c>
      <c r="D48" s="8">
        <f>COUNTIFS(기능명세!$N$2:$N$110,$A48,기능명세!$L$2:$L$110,"P2")</f>
        <v>0</v>
      </c>
      <c r="E48" s="8">
        <f t="shared" si="2"/>
        <v>0</v>
      </c>
    </row>
    <row r="49" spans="1:8" ht="15" customHeight="1">
      <c r="A49" s="9" t="s">
        <v>47</v>
      </c>
      <c r="B49" s="10">
        <f>SUM(B42:B48)</f>
        <v>82</v>
      </c>
      <c r="C49" s="10">
        <f>SUM(C42:C48)</f>
        <v>24</v>
      </c>
      <c r="D49" s="10">
        <f>SUM(D42:D48)</f>
        <v>3</v>
      </c>
      <c r="E49" s="10">
        <f>SUM(E42:E48)</f>
        <v>109</v>
      </c>
    </row>
    <row r="51" spans="1:8">
      <c r="A51" s="4" t="s">
        <v>63</v>
      </c>
    </row>
    <row r="52" spans="1:8" ht="20" customHeight="1">
      <c r="A52" s="2" t="s">
        <v>34</v>
      </c>
      <c r="B52" s="26" t="s">
        <v>64</v>
      </c>
      <c r="C52" s="25"/>
      <c r="D52" s="25"/>
      <c r="E52" s="25"/>
      <c r="F52" s="25"/>
      <c r="G52" s="25"/>
      <c r="H52" s="25"/>
    </row>
    <row r="53" spans="1:8" ht="20" customHeight="1">
      <c r="A53" s="2" t="s">
        <v>65</v>
      </c>
      <c r="B53" s="26" t="s">
        <v>66</v>
      </c>
      <c r="C53" s="25"/>
      <c r="D53" s="25"/>
      <c r="E53" s="25"/>
      <c r="F53" s="25"/>
      <c r="G53" s="25"/>
      <c r="H53" s="25"/>
    </row>
    <row r="54" spans="1:8" ht="20" customHeight="1">
      <c r="A54" s="2" t="s">
        <v>67</v>
      </c>
      <c r="B54" s="26" t="s">
        <v>68</v>
      </c>
      <c r="C54" s="25"/>
      <c r="D54" s="25"/>
      <c r="E54" s="25"/>
      <c r="F54" s="25"/>
      <c r="G54" s="25"/>
      <c r="H54" s="25"/>
    </row>
    <row r="55" spans="1:8" ht="52" customHeight="1">
      <c r="A55" s="2" t="s">
        <v>69</v>
      </c>
      <c r="B55" s="26" t="s">
        <v>70</v>
      </c>
      <c r="C55" s="25"/>
      <c r="D55" s="25"/>
      <c r="E55" s="25"/>
      <c r="F55" s="25"/>
      <c r="G55" s="25"/>
      <c r="H55" s="25"/>
    </row>
    <row r="56" spans="1:8" ht="20" customHeight="1">
      <c r="A56" s="2" t="s">
        <v>71</v>
      </c>
      <c r="B56" s="26" t="s">
        <v>72</v>
      </c>
      <c r="C56" s="25"/>
      <c r="D56" s="25"/>
      <c r="E56" s="25"/>
      <c r="F56" s="25"/>
      <c r="G56" s="25"/>
      <c r="H56" s="25"/>
    </row>
    <row r="57" spans="1:8" ht="36" customHeight="1">
      <c r="A57" s="2" t="s">
        <v>73</v>
      </c>
      <c r="B57" s="26" t="s">
        <v>74</v>
      </c>
      <c r="C57" s="25"/>
      <c r="D57" s="25"/>
      <c r="E57" s="25"/>
      <c r="F57" s="25"/>
      <c r="G57" s="25"/>
      <c r="H57" s="25"/>
    </row>
    <row r="58" spans="1:8" ht="20" customHeight="1">
      <c r="A58" s="2" t="s">
        <v>75</v>
      </c>
      <c r="B58" s="26" t="s">
        <v>76</v>
      </c>
      <c r="C58" s="25"/>
      <c r="D58" s="25"/>
      <c r="E58" s="25"/>
      <c r="F58" s="25"/>
      <c r="G58" s="25"/>
      <c r="H58" s="25"/>
    </row>
    <row r="60" spans="1:8">
      <c r="A60" t="s">
        <v>77</v>
      </c>
    </row>
    <row r="61" spans="1:8">
      <c r="A61" t="s">
        <v>78</v>
      </c>
      <c r="B61" t="s">
        <v>79</v>
      </c>
    </row>
    <row r="62" spans="1:8">
      <c r="A62" t="s">
        <v>80</v>
      </c>
      <c r="B62" t="s">
        <v>81</v>
      </c>
    </row>
    <row r="63" spans="1:8">
      <c r="A63" t="s">
        <v>82</v>
      </c>
      <c r="B63" t="s">
        <v>83</v>
      </c>
    </row>
    <row r="64" spans="1:8">
      <c r="A64" t="s">
        <v>84</v>
      </c>
      <c r="B64" t="s">
        <v>85</v>
      </c>
    </row>
    <row r="65" spans="1:2">
      <c r="A65" t="s">
        <v>86</v>
      </c>
      <c r="B65" t="s">
        <v>87</v>
      </c>
    </row>
    <row r="66" spans="1:2">
      <c r="A66" t="s">
        <v>88</v>
      </c>
      <c r="B66" t="s">
        <v>89</v>
      </c>
    </row>
    <row r="67" spans="1:2">
      <c r="A67" t="s">
        <v>90</v>
      </c>
      <c r="B67" t="s">
        <v>91</v>
      </c>
    </row>
  </sheetData>
  <mergeCells count="33">
    <mergeCell ref="B3:H3"/>
    <mergeCell ref="B18:H18"/>
    <mergeCell ref="B56:H56"/>
    <mergeCell ref="B58:H58"/>
    <mergeCell ref="B52:H52"/>
    <mergeCell ref="B14:H14"/>
    <mergeCell ref="B24:C24"/>
    <mergeCell ref="D25:H25"/>
    <mergeCell ref="B17:H17"/>
    <mergeCell ref="B13:H13"/>
    <mergeCell ref="B57:H57"/>
    <mergeCell ref="D24:H24"/>
    <mergeCell ref="B53:H53"/>
    <mergeCell ref="A10:H10"/>
    <mergeCell ref="D23:H23"/>
    <mergeCell ref="B26:C26"/>
    <mergeCell ref="B5:H5"/>
    <mergeCell ref="B21:C21"/>
    <mergeCell ref="D21:H21"/>
    <mergeCell ref="B4:H4"/>
    <mergeCell ref="B23:C23"/>
    <mergeCell ref="B16:H16"/>
    <mergeCell ref="B7:H7"/>
    <mergeCell ref="B25:C25"/>
    <mergeCell ref="B55:H55"/>
    <mergeCell ref="B6:H6"/>
    <mergeCell ref="B22:C22"/>
    <mergeCell ref="B15:H15"/>
    <mergeCell ref="B27:C27"/>
    <mergeCell ref="D22:H22"/>
    <mergeCell ref="D27:H27"/>
    <mergeCell ref="B54:H54"/>
    <mergeCell ref="D26:H26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0"/>
  <sheetViews>
    <sheetView workbookViewId="0"/>
  </sheetViews>
  <sheetFormatPr defaultColWidth="8.6328125" defaultRowHeight="14.5"/>
  <cols>
    <col min="1" max="1" width="5" customWidth="1"/>
    <col min="2" max="2" width="15" customWidth="1"/>
    <col min="3" max="3" width="24" customWidth="1"/>
    <col min="4" max="4" width="9" customWidth="1"/>
    <col min="5" max="5" width="20" customWidth="1"/>
    <col min="6" max="6" width="8" customWidth="1"/>
    <col min="7" max="7" width="60" customWidth="1"/>
    <col min="8" max="8" width="30" customWidth="1"/>
    <col min="9" max="9" width="16" customWidth="1"/>
    <col min="10" max="10" width="28" customWidth="1"/>
    <col min="11" max="11" width="36" customWidth="1"/>
    <col min="12" max="14" width="8" customWidth="1"/>
    <col min="15" max="15" width="18" customWidth="1"/>
    <col min="16" max="16" width="28" customWidth="1"/>
  </cols>
  <sheetData>
    <row r="1" spans="1:16" ht="24" customHeight="1">
      <c r="A1" s="6" t="s">
        <v>92</v>
      </c>
      <c r="B1" s="5" t="s">
        <v>46</v>
      </c>
      <c r="C1" s="5" t="s">
        <v>93</v>
      </c>
      <c r="D1" s="6" t="s">
        <v>94</v>
      </c>
      <c r="E1" s="5" t="s">
        <v>95</v>
      </c>
      <c r="F1" s="5" t="s">
        <v>39</v>
      </c>
      <c r="G1" s="5" t="s">
        <v>96</v>
      </c>
      <c r="H1" s="5" t="s">
        <v>97</v>
      </c>
      <c r="I1" s="5" t="s">
        <v>98</v>
      </c>
      <c r="J1" s="5" t="s">
        <v>99</v>
      </c>
      <c r="K1" s="5" t="s">
        <v>100</v>
      </c>
      <c r="L1" s="5" t="s">
        <v>27</v>
      </c>
      <c r="M1" s="5" t="s">
        <v>34</v>
      </c>
      <c r="N1" s="5" t="s">
        <v>42</v>
      </c>
      <c r="O1" s="5" t="s">
        <v>101</v>
      </c>
      <c r="P1" s="5" t="s">
        <v>102</v>
      </c>
    </row>
    <row r="2" spans="1:16" ht="58.25" customHeight="1">
      <c r="A2" s="8">
        <v>1</v>
      </c>
      <c r="B2" s="12" t="s">
        <v>48</v>
      </c>
      <c r="C2" s="12" t="s">
        <v>103</v>
      </c>
      <c r="D2" s="10" t="s">
        <v>104</v>
      </c>
      <c r="E2" s="13" t="s">
        <v>105</v>
      </c>
      <c r="F2" s="14" t="s">
        <v>106</v>
      </c>
      <c r="G2" s="13" t="s">
        <v>107</v>
      </c>
      <c r="H2" s="15" t="s">
        <v>108</v>
      </c>
      <c r="I2" s="13" t="s">
        <v>109</v>
      </c>
      <c r="J2" s="13" t="s">
        <v>110</v>
      </c>
      <c r="K2" s="13" t="s">
        <v>111</v>
      </c>
      <c r="L2" s="8" t="s">
        <v>28</v>
      </c>
      <c r="M2" s="14" t="s">
        <v>35</v>
      </c>
      <c r="N2" s="8" t="s">
        <v>56</v>
      </c>
      <c r="O2" s="15" t="s">
        <v>112</v>
      </c>
      <c r="P2" s="15" t="s">
        <v>113</v>
      </c>
    </row>
    <row r="3" spans="1:16" ht="58.25" customHeight="1">
      <c r="A3" s="8">
        <v>2</v>
      </c>
      <c r="B3" s="12" t="s">
        <v>48</v>
      </c>
      <c r="C3" s="12" t="s">
        <v>103</v>
      </c>
      <c r="D3" s="10" t="s">
        <v>114</v>
      </c>
      <c r="E3" s="13" t="s">
        <v>115</v>
      </c>
      <c r="F3" s="14" t="s">
        <v>116</v>
      </c>
      <c r="G3" s="13" t="s">
        <v>117</v>
      </c>
      <c r="H3" s="15" t="s">
        <v>118</v>
      </c>
      <c r="I3" s="13" t="s">
        <v>119</v>
      </c>
      <c r="J3" s="13" t="s">
        <v>120</v>
      </c>
      <c r="K3" s="15" t="s">
        <v>121</v>
      </c>
      <c r="L3" s="8" t="s">
        <v>28</v>
      </c>
      <c r="M3" s="14" t="s">
        <v>35</v>
      </c>
      <c r="N3" s="8" t="s">
        <v>56</v>
      </c>
      <c r="O3" s="13" t="s">
        <v>122</v>
      </c>
      <c r="P3" s="15" t="s">
        <v>123</v>
      </c>
    </row>
    <row r="4" spans="1:16" ht="44" customHeight="1">
      <c r="A4" s="8">
        <v>3</v>
      </c>
      <c r="B4" s="12" t="s">
        <v>48</v>
      </c>
      <c r="C4" s="12" t="s">
        <v>103</v>
      </c>
      <c r="D4" s="10" t="s">
        <v>124</v>
      </c>
      <c r="E4" s="13" t="s">
        <v>125</v>
      </c>
      <c r="F4" s="14" t="s">
        <v>116</v>
      </c>
      <c r="G4" s="13" t="s">
        <v>126</v>
      </c>
      <c r="H4" s="15" t="s">
        <v>118</v>
      </c>
      <c r="I4" s="13" t="s">
        <v>127</v>
      </c>
      <c r="J4" s="15" t="s">
        <v>118</v>
      </c>
      <c r="K4" s="13" t="s">
        <v>128</v>
      </c>
      <c r="L4" s="8" t="s">
        <v>30</v>
      </c>
      <c r="M4" s="14" t="s">
        <v>37</v>
      </c>
      <c r="N4" s="14" t="s">
        <v>61</v>
      </c>
      <c r="O4" s="13" t="s">
        <v>122</v>
      </c>
      <c r="P4" s="13" t="s">
        <v>129</v>
      </c>
    </row>
    <row r="5" spans="1:16" ht="44" customHeight="1">
      <c r="A5" s="8">
        <v>4</v>
      </c>
      <c r="B5" s="12" t="s">
        <v>48</v>
      </c>
      <c r="C5" s="12" t="s">
        <v>103</v>
      </c>
      <c r="D5" s="10" t="s">
        <v>130</v>
      </c>
      <c r="E5" s="13" t="s">
        <v>131</v>
      </c>
      <c r="F5" s="14" t="s">
        <v>106</v>
      </c>
      <c r="G5" s="13" t="s">
        <v>132</v>
      </c>
      <c r="H5" s="15" t="s">
        <v>133</v>
      </c>
      <c r="I5" s="13" t="s">
        <v>134</v>
      </c>
      <c r="J5" s="13" t="s">
        <v>135</v>
      </c>
      <c r="K5" s="13" t="s">
        <v>136</v>
      </c>
      <c r="L5" s="8" t="s">
        <v>28</v>
      </c>
      <c r="M5" s="14" t="s">
        <v>35</v>
      </c>
      <c r="N5" s="8" t="s">
        <v>56</v>
      </c>
      <c r="O5" s="15" t="s">
        <v>137</v>
      </c>
      <c r="P5" s="15"/>
    </row>
    <row r="6" spans="1:16" ht="44" customHeight="1">
      <c r="A6" s="8">
        <v>5</v>
      </c>
      <c r="B6" s="12" t="s">
        <v>48</v>
      </c>
      <c r="C6" s="12" t="s">
        <v>138</v>
      </c>
      <c r="D6" s="10" t="s">
        <v>139</v>
      </c>
      <c r="E6" s="13" t="s">
        <v>140</v>
      </c>
      <c r="F6" s="14" t="s">
        <v>116</v>
      </c>
      <c r="G6" s="13" t="s">
        <v>141</v>
      </c>
      <c r="H6" s="15" t="s">
        <v>118</v>
      </c>
      <c r="I6" s="15" t="s">
        <v>118</v>
      </c>
      <c r="J6" s="15" t="s">
        <v>118</v>
      </c>
      <c r="K6" s="13" t="s">
        <v>142</v>
      </c>
      <c r="L6" s="8" t="s">
        <v>28</v>
      </c>
      <c r="M6" s="14" t="s">
        <v>35</v>
      </c>
      <c r="N6" s="8" t="s">
        <v>56</v>
      </c>
      <c r="O6" s="13" t="s">
        <v>122</v>
      </c>
      <c r="P6" s="13" t="s">
        <v>143</v>
      </c>
    </row>
    <row r="7" spans="1:16" ht="44" customHeight="1">
      <c r="A7" s="8">
        <v>6</v>
      </c>
      <c r="B7" s="12" t="s">
        <v>48</v>
      </c>
      <c r="C7" s="12" t="s">
        <v>138</v>
      </c>
      <c r="D7" s="10" t="s">
        <v>144</v>
      </c>
      <c r="E7" s="13" t="s">
        <v>145</v>
      </c>
      <c r="F7" s="14" t="s">
        <v>116</v>
      </c>
      <c r="G7" s="13" t="s">
        <v>146</v>
      </c>
      <c r="H7" s="15" t="s">
        <v>147</v>
      </c>
      <c r="I7" s="15" t="s">
        <v>118</v>
      </c>
      <c r="J7" s="15" t="s">
        <v>118</v>
      </c>
      <c r="K7" s="15" t="s">
        <v>148</v>
      </c>
      <c r="L7" s="8" t="s">
        <v>28</v>
      </c>
      <c r="M7" s="14" t="s">
        <v>35</v>
      </c>
      <c r="N7" s="8" t="s">
        <v>56</v>
      </c>
      <c r="O7" s="15" t="s">
        <v>149</v>
      </c>
      <c r="P7" s="15"/>
    </row>
    <row r="8" spans="1:16" ht="44" customHeight="1">
      <c r="A8" s="8">
        <v>7</v>
      </c>
      <c r="B8" s="12" t="s">
        <v>48</v>
      </c>
      <c r="C8" s="12" t="s">
        <v>138</v>
      </c>
      <c r="D8" s="10" t="s">
        <v>150</v>
      </c>
      <c r="E8" s="13" t="s">
        <v>151</v>
      </c>
      <c r="F8" s="14" t="s">
        <v>116</v>
      </c>
      <c r="G8" s="15" t="s">
        <v>152</v>
      </c>
      <c r="H8" s="15" t="s">
        <v>153</v>
      </c>
      <c r="I8" s="15" t="s">
        <v>118</v>
      </c>
      <c r="J8" s="13" t="s">
        <v>154</v>
      </c>
      <c r="K8" s="13" t="s">
        <v>155</v>
      </c>
      <c r="L8" s="8" t="s">
        <v>28</v>
      </c>
      <c r="M8" s="14" t="s">
        <v>35</v>
      </c>
      <c r="N8" s="8" t="s">
        <v>58</v>
      </c>
      <c r="O8" s="15" t="s">
        <v>156</v>
      </c>
      <c r="P8" s="15"/>
    </row>
    <row r="9" spans="1:16" ht="58.25" customHeight="1">
      <c r="A9" s="8">
        <v>8</v>
      </c>
      <c r="B9" s="12" t="s">
        <v>48</v>
      </c>
      <c r="C9" s="12" t="s">
        <v>138</v>
      </c>
      <c r="D9" s="10" t="s">
        <v>157</v>
      </c>
      <c r="E9" s="13" t="s">
        <v>158</v>
      </c>
      <c r="F9" s="14" t="s">
        <v>116</v>
      </c>
      <c r="G9" s="13" t="s">
        <v>159</v>
      </c>
      <c r="H9" s="13" t="s">
        <v>160</v>
      </c>
      <c r="I9" s="15" t="s">
        <v>118</v>
      </c>
      <c r="J9" s="15" t="s">
        <v>118</v>
      </c>
      <c r="K9" s="13" t="s">
        <v>161</v>
      </c>
      <c r="L9" s="8" t="s">
        <v>28</v>
      </c>
      <c r="M9" s="14" t="s">
        <v>37</v>
      </c>
      <c r="N9" s="14" t="s">
        <v>59</v>
      </c>
      <c r="O9" s="15" t="s">
        <v>118</v>
      </c>
      <c r="P9" s="13" t="s">
        <v>162</v>
      </c>
    </row>
    <row r="10" spans="1:16" ht="29.9" customHeight="1">
      <c r="A10" s="8">
        <v>9</v>
      </c>
      <c r="B10" s="12" t="s">
        <v>48</v>
      </c>
      <c r="C10" s="12" t="s">
        <v>138</v>
      </c>
      <c r="D10" s="10" t="s">
        <v>163</v>
      </c>
      <c r="E10" s="13" t="s">
        <v>164</v>
      </c>
      <c r="F10" s="14" t="s">
        <v>116</v>
      </c>
      <c r="G10" s="13" t="s">
        <v>165</v>
      </c>
      <c r="H10" s="15" t="s">
        <v>166</v>
      </c>
      <c r="I10" s="15" t="s">
        <v>118</v>
      </c>
      <c r="J10" s="13" t="s">
        <v>167</v>
      </c>
      <c r="K10" s="13" t="s">
        <v>168</v>
      </c>
      <c r="L10" s="8" t="s">
        <v>28</v>
      </c>
      <c r="M10" s="14" t="s">
        <v>35</v>
      </c>
      <c r="N10" s="8" t="s">
        <v>57</v>
      </c>
      <c r="O10" s="15" t="s">
        <v>118</v>
      </c>
      <c r="P10" s="15"/>
    </row>
    <row r="11" spans="1:16" ht="29.9" customHeight="1">
      <c r="A11" s="8">
        <v>10</v>
      </c>
      <c r="B11" s="12" t="s">
        <v>48</v>
      </c>
      <c r="C11" s="12" t="s">
        <v>138</v>
      </c>
      <c r="D11" s="10" t="s">
        <v>169</v>
      </c>
      <c r="E11" s="13" t="s">
        <v>170</v>
      </c>
      <c r="F11" s="14" t="s">
        <v>116</v>
      </c>
      <c r="G11" s="13" t="s">
        <v>171</v>
      </c>
      <c r="H11" s="15" t="s">
        <v>118</v>
      </c>
      <c r="I11" s="15" t="s">
        <v>118</v>
      </c>
      <c r="J11" s="15" t="s">
        <v>118</v>
      </c>
      <c r="K11" s="13" t="s">
        <v>172</v>
      </c>
      <c r="L11" s="8" t="s">
        <v>30</v>
      </c>
      <c r="M11" s="14" t="s">
        <v>37</v>
      </c>
      <c r="N11" s="14" t="s">
        <v>60</v>
      </c>
      <c r="O11" s="15" t="s">
        <v>173</v>
      </c>
      <c r="P11" s="13" t="s">
        <v>174</v>
      </c>
    </row>
    <row r="12" spans="1:16" ht="58.25" customHeight="1">
      <c r="A12" s="8">
        <v>11</v>
      </c>
      <c r="B12" s="12" t="s">
        <v>48</v>
      </c>
      <c r="C12" s="12" t="s">
        <v>138</v>
      </c>
      <c r="D12" s="10" t="s">
        <v>175</v>
      </c>
      <c r="E12" s="13" t="s">
        <v>176</v>
      </c>
      <c r="F12" s="14" t="s">
        <v>116</v>
      </c>
      <c r="G12" s="13" t="s">
        <v>177</v>
      </c>
      <c r="H12" s="15" t="s">
        <v>178</v>
      </c>
      <c r="I12" s="15" t="s">
        <v>118</v>
      </c>
      <c r="J12" s="15" t="s">
        <v>118</v>
      </c>
      <c r="K12" s="13" t="s">
        <v>179</v>
      </c>
      <c r="L12" s="8" t="s">
        <v>28</v>
      </c>
      <c r="M12" s="14" t="s">
        <v>35</v>
      </c>
      <c r="N12" s="8" t="s">
        <v>57</v>
      </c>
      <c r="O12" s="15" t="s">
        <v>180</v>
      </c>
      <c r="P12" s="15"/>
    </row>
    <row r="13" spans="1:16" ht="44" customHeight="1">
      <c r="A13" s="22">
        <v>12</v>
      </c>
      <c r="B13" s="23" t="s">
        <v>48</v>
      </c>
      <c r="C13" s="23" t="s">
        <v>103</v>
      </c>
      <c r="D13" s="10" t="s">
        <v>181</v>
      </c>
      <c r="E13" s="13" t="s">
        <v>182</v>
      </c>
      <c r="F13" s="14" t="s">
        <v>106</v>
      </c>
      <c r="G13" s="13" t="s">
        <v>183</v>
      </c>
      <c r="H13" s="20" t="s">
        <v>184</v>
      </c>
      <c r="I13" s="13" t="s">
        <v>109</v>
      </c>
      <c r="J13" s="13" t="s">
        <v>185</v>
      </c>
      <c r="K13" s="13" t="s">
        <v>186</v>
      </c>
      <c r="L13" s="22" t="s">
        <v>28</v>
      </c>
      <c r="M13" s="14" t="s">
        <v>35</v>
      </c>
      <c r="N13" s="22" t="s">
        <v>58</v>
      </c>
      <c r="O13" s="20" t="s">
        <v>112</v>
      </c>
      <c r="P13" s="20" t="s">
        <v>187</v>
      </c>
    </row>
    <row r="14" spans="1:16" ht="29.9" customHeight="1">
      <c r="A14" s="22">
        <v>13</v>
      </c>
      <c r="B14" s="23" t="s">
        <v>48</v>
      </c>
      <c r="C14" s="23" t="s">
        <v>103</v>
      </c>
      <c r="D14" s="10" t="s">
        <v>188</v>
      </c>
      <c r="E14" s="13" t="s">
        <v>189</v>
      </c>
      <c r="F14" s="14" t="s">
        <v>106</v>
      </c>
      <c r="G14" s="13" t="s">
        <v>190</v>
      </c>
      <c r="H14" s="20" t="s">
        <v>191</v>
      </c>
      <c r="I14" s="13" t="s">
        <v>192</v>
      </c>
      <c r="J14" s="13" t="s">
        <v>193</v>
      </c>
      <c r="K14" s="13" t="s">
        <v>194</v>
      </c>
      <c r="L14" s="22" t="s">
        <v>28</v>
      </c>
      <c r="M14" s="14" t="s">
        <v>35</v>
      </c>
      <c r="N14" s="22" t="s">
        <v>58</v>
      </c>
      <c r="O14" s="20" t="s">
        <v>112</v>
      </c>
      <c r="P14" s="20" t="s">
        <v>187</v>
      </c>
    </row>
    <row r="15" spans="1:16" ht="29.9" customHeight="1">
      <c r="A15" s="22">
        <v>14</v>
      </c>
      <c r="B15" s="23" t="s">
        <v>48</v>
      </c>
      <c r="C15" s="23" t="s">
        <v>138</v>
      </c>
      <c r="D15" s="10" t="s">
        <v>195</v>
      </c>
      <c r="E15" s="13" t="s">
        <v>196</v>
      </c>
      <c r="F15" s="14" t="s">
        <v>116</v>
      </c>
      <c r="G15" s="20" t="s">
        <v>197</v>
      </c>
      <c r="H15" s="20" t="s">
        <v>198</v>
      </c>
      <c r="I15" s="13" t="s">
        <v>199</v>
      </c>
      <c r="J15" s="13" t="s">
        <v>200</v>
      </c>
      <c r="K15" s="13" t="s">
        <v>201</v>
      </c>
      <c r="L15" s="22" t="s">
        <v>28</v>
      </c>
      <c r="M15" s="14" t="s">
        <v>35</v>
      </c>
      <c r="N15" s="22" t="s">
        <v>58</v>
      </c>
      <c r="O15" s="20" t="s">
        <v>122</v>
      </c>
      <c r="P15" s="20" t="s">
        <v>187</v>
      </c>
    </row>
    <row r="16" spans="1:16" ht="29.9" customHeight="1">
      <c r="A16" s="22">
        <v>15</v>
      </c>
      <c r="B16" s="23" t="s">
        <v>48</v>
      </c>
      <c r="C16" s="23" t="s">
        <v>138</v>
      </c>
      <c r="D16" s="10" t="s">
        <v>202</v>
      </c>
      <c r="E16" s="13" t="s">
        <v>203</v>
      </c>
      <c r="F16" s="14" t="s">
        <v>106</v>
      </c>
      <c r="G16" s="20" t="s">
        <v>204</v>
      </c>
      <c r="H16" s="20" t="s">
        <v>205</v>
      </c>
      <c r="I16" s="13" t="s">
        <v>206</v>
      </c>
      <c r="J16" s="13" t="s">
        <v>207</v>
      </c>
      <c r="K16" s="13" t="s">
        <v>208</v>
      </c>
      <c r="L16" s="22" t="s">
        <v>28</v>
      </c>
      <c r="M16" s="14" t="s">
        <v>35</v>
      </c>
      <c r="N16" s="22" t="s">
        <v>58</v>
      </c>
      <c r="O16" s="20" t="s">
        <v>209</v>
      </c>
      <c r="P16" s="20" t="s">
        <v>187</v>
      </c>
    </row>
    <row r="17" spans="1:16" ht="44" customHeight="1">
      <c r="A17" s="8">
        <v>16</v>
      </c>
      <c r="B17" s="12" t="s">
        <v>49</v>
      </c>
      <c r="C17" s="12" t="s">
        <v>210</v>
      </c>
      <c r="D17" s="10" t="s">
        <v>211</v>
      </c>
      <c r="E17" s="13" t="s">
        <v>212</v>
      </c>
      <c r="F17" s="14" t="s">
        <v>106</v>
      </c>
      <c r="G17" s="13" t="s">
        <v>213</v>
      </c>
      <c r="H17" s="15" t="s">
        <v>214</v>
      </c>
      <c r="I17" s="13" t="s">
        <v>215</v>
      </c>
      <c r="J17" s="13" t="s">
        <v>216</v>
      </c>
      <c r="K17" s="13" t="s">
        <v>217</v>
      </c>
      <c r="L17" s="8" t="s">
        <v>28</v>
      </c>
      <c r="M17" s="14" t="s">
        <v>35</v>
      </c>
      <c r="N17" s="8" t="s">
        <v>58</v>
      </c>
      <c r="O17" s="15" t="s">
        <v>218</v>
      </c>
      <c r="P17" s="15"/>
    </row>
    <row r="18" spans="1:16" ht="29.9" customHeight="1">
      <c r="A18" s="8">
        <v>17</v>
      </c>
      <c r="B18" s="12" t="s">
        <v>49</v>
      </c>
      <c r="C18" s="12" t="s">
        <v>210</v>
      </c>
      <c r="D18" s="10" t="s">
        <v>219</v>
      </c>
      <c r="E18" s="13" t="s">
        <v>220</v>
      </c>
      <c r="F18" s="14" t="s">
        <v>106</v>
      </c>
      <c r="G18" s="13" t="s">
        <v>221</v>
      </c>
      <c r="H18" s="15" t="s">
        <v>222</v>
      </c>
      <c r="I18" s="13" t="s">
        <v>212</v>
      </c>
      <c r="J18" s="15" t="s">
        <v>223</v>
      </c>
      <c r="K18" s="13" t="s">
        <v>224</v>
      </c>
      <c r="L18" s="8" t="s">
        <v>28</v>
      </c>
      <c r="M18" s="14" t="s">
        <v>35</v>
      </c>
      <c r="N18" s="8" t="s">
        <v>56</v>
      </c>
      <c r="O18" s="15" t="s">
        <v>218</v>
      </c>
      <c r="P18" s="15"/>
    </row>
    <row r="19" spans="1:16" ht="58.25" customHeight="1">
      <c r="A19" s="8">
        <v>18</v>
      </c>
      <c r="B19" s="12" t="s">
        <v>49</v>
      </c>
      <c r="C19" s="12" t="s">
        <v>210</v>
      </c>
      <c r="D19" s="10" t="s">
        <v>225</v>
      </c>
      <c r="E19" s="13" t="s">
        <v>226</v>
      </c>
      <c r="F19" s="14" t="s">
        <v>106</v>
      </c>
      <c r="G19" s="13" t="s">
        <v>227</v>
      </c>
      <c r="H19" s="15" t="s">
        <v>228</v>
      </c>
      <c r="I19" s="13" t="s">
        <v>212</v>
      </c>
      <c r="J19" s="13" t="s">
        <v>223</v>
      </c>
      <c r="K19" s="13" t="s">
        <v>229</v>
      </c>
      <c r="L19" s="8" t="s">
        <v>28</v>
      </c>
      <c r="M19" s="14" t="s">
        <v>35</v>
      </c>
      <c r="N19" s="8" t="s">
        <v>56</v>
      </c>
      <c r="O19" s="15" t="s">
        <v>218</v>
      </c>
      <c r="P19" s="15"/>
    </row>
    <row r="20" spans="1:16" ht="29.9" customHeight="1">
      <c r="A20" s="8">
        <v>19</v>
      </c>
      <c r="B20" s="12" t="s">
        <v>49</v>
      </c>
      <c r="C20" s="12" t="s">
        <v>210</v>
      </c>
      <c r="D20" s="10" t="s">
        <v>230</v>
      </c>
      <c r="E20" s="13" t="s">
        <v>231</v>
      </c>
      <c r="F20" s="14" t="s">
        <v>106</v>
      </c>
      <c r="G20" s="13" t="s">
        <v>232</v>
      </c>
      <c r="H20" s="15" t="s">
        <v>233</v>
      </c>
      <c r="I20" s="13" t="s">
        <v>234</v>
      </c>
      <c r="J20" s="13" t="s">
        <v>235</v>
      </c>
      <c r="K20" s="13" t="s">
        <v>236</v>
      </c>
      <c r="L20" s="8" t="s">
        <v>28</v>
      </c>
      <c r="M20" s="14" t="s">
        <v>35</v>
      </c>
      <c r="N20" s="8" t="s">
        <v>58</v>
      </c>
      <c r="O20" s="15" t="s">
        <v>218</v>
      </c>
      <c r="P20" s="15"/>
    </row>
    <row r="21" spans="1:16" ht="58.25" customHeight="1">
      <c r="A21" s="8">
        <v>20</v>
      </c>
      <c r="B21" s="12" t="s">
        <v>49</v>
      </c>
      <c r="C21" s="12" t="s">
        <v>210</v>
      </c>
      <c r="D21" s="10" t="s">
        <v>237</v>
      </c>
      <c r="E21" s="13" t="s">
        <v>238</v>
      </c>
      <c r="F21" s="14" t="s">
        <v>106</v>
      </c>
      <c r="G21" s="13" t="s">
        <v>239</v>
      </c>
      <c r="H21" s="15" t="s">
        <v>240</v>
      </c>
      <c r="I21" s="13" t="s">
        <v>241</v>
      </c>
      <c r="J21" s="13" t="s">
        <v>242</v>
      </c>
      <c r="K21" s="13" t="s">
        <v>243</v>
      </c>
      <c r="L21" s="8" t="s">
        <v>28</v>
      </c>
      <c r="M21" s="14" t="s">
        <v>35</v>
      </c>
      <c r="N21" s="8" t="s">
        <v>58</v>
      </c>
      <c r="O21" s="15" t="s">
        <v>244</v>
      </c>
      <c r="P21" s="15"/>
    </row>
    <row r="22" spans="1:16" ht="72.25" customHeight="1">
      <c r="A22" s="8">
        <v>21</v>
      </c>
      <c r="B22" s="12" t="s">
        <v>49</v>
      </c>
      <c r="C22" s="12" t="s">
        <v>210</v>
      </c>
      <c r="D22" s="10" t="s">
        <v>245</v>
      </c>
      <c r="E22" s="13" t="s">
        <v>246</v>
      </c>
      <c r="F22" s="14" t="s">
        <v>116</v>
      </c>
      <c r="G22" s="13" t="s">
        <v>247</v>
      </c>
      <c r="H22" s="15" t="s">
        <v>248</v>
      </c>
      <c r="I22" s="13" t="s">
        <v>241</v>
      </c>
      <c r="J22" s="13" t="s">
        <v>118</v>
      </c>
      <c r="K22" s="13" t="s">
        <v>249</v>
      </c>
      <c r="L22" s="8" t="s">
        <v>30</v>
      </c>
      <c r="M22" s="14" t="s">
        <v>35</v>
      </c>
      <c r="N22" s="8" t="s">
        <v>56</v>
      </c>
      <c r="O22" s="15" t="s">
        <v>250</v>
      </c>
      <c r="P22" s="13"/>
    </row>
    <row r="23" spans="1:16" ht="58.25" customHeight="1">
      <c r="A23" s="8">
        <v>22</v>
      </c>
      <c r="B23" s="12" t="s">
        <v>49</v>
      </c>
      <c r="C23" s="12" t="s">
        <v>251</v>
      </c>
      <c r="D23" s="10" t="s">
        <v>252</v>
      </c>
      <c r="E23" s="13" t="s">
        <v>253</v>
      </c>
      <c r="F23" s="14" t="s">
        <v>116</v>
      </c>
      <c r="G23" s="13" t="s">
        <v>254</v>
      </c>
      <c r="H23" s="15" t="s">
        <v>255</v>
      </c>
      <c r="I23" s="15" t="s">
        <v>256</v>
      </c>
      <c r="J23" s="13" t="s">
        <v>257</v>
      </c>
      <c r="K23" s="13" t="s">
        <v>258</v>
      </c>
      <c r="L23" s="8" t="s">
        <v>28</v>
      </c>
      <c r="M23" s="14" t="s">
        <v>35</v>
      </c>
      <c r="N23" s="8" t="s">
        <v>58</v>
      </c>
      <c r="O23" s="15" t="s">
        <v>259</v>
      </c>
      <c r="P23" s="15"/>
    </row>
    <row r="24" spans="1:16" ht="86.5" customHeight="1">
      <c r="A24" s="8">
        <v>23</v>
      </c>
      <c r="B24" s="12" t="s">
        <v>49</v>
      </c>
      <c r="C24" s="12" t="s">
        <v>251</v>
      </c>
      <c r="D24" s="10" t="s">
        <v>260</v>
      </c>
      <c r="E24" s="13" t="s">
        <v>261</v>
      </c>
      <c r="F24" s="14" t="s">
        <v>106</v>
      </c>
      <c r="G24" s="13" t="s">
        <v>262</v>
      </c>
      <c r="H24" s="15" t="s">
        <v>263</v>
      </c>
      <c r="I24" s="15" t="s">
        <v>264</v>
      </c>
      <c r="J24" s="13" t="s">
        <v>265</v>
      </c>
      <c r="K24" s="13" t="s">
        <v>266</v>
      </c>
      <c r="L24" s="8" t="s">
        <v>28</v>
      </c>
      <c r="M24" s="14" t="s">
        <v>35</v>
      </c>
      <c r="N24" s="8" t="s">
        <v>56</v>
      </c>
      <c r="O24" s="15" t="s">
        <v>173</v>
      </c>
      <c r="P24" s="15"/>
    </row>
    <row r="25" spans="1:16" ht="29.9" customHeight="1">
      <c r="A25" s="8">
        <v>24</v>
      </c>
      <c r="B25" s="12" t="s">
        <v>49</v>
      </c>
      <c r="C25" s="12" t="s">
        <v>251</v>
      </c>
      <c r="D25" s="10" t="s">
        <v>267</v>
      </c>
      <c r="E25" s="15" t="s">
        <v>268</v>
      </c>
      <c r="F25" s="14" t="s">
        <v>106</v>
      </c>
      <c r="G25" s="13" t="s">
        <v>269</v>
      </c>
      <c r="H25" s="15" t="s">
        <v>270</v>
      </c>
      <c r="I25" s="15" t="s">
        <v>271</v>
      </c>
      <c r="J25" s="15" t="s">
        <v>272</v>
      </c>
      <c r="K25" s="15" t="s">
        <v>273</v>
      </c>
      <c r="L25" s="8" t="s">
        <v>28</v>
      </c>
      <c r="M25" s="14" t="s">
        <v>35</v>
      </c>
      <c r="N25" s="8" t="s">
        <v>56</v>
      </c>
      <c r="O25" s="15" t="s">
        <v>173</v>
      </c>
      <c r="P25" s="15"/>
    </row>
    <row r="26" spans="1:16" ht="29.9" customHeight="1">
      <c r="A26" s="8">
        <v>25</v>
      </c>
      <c r="B26" s="12" t="s">
        <v>49</v>
      </c>
      <c r="C26" s="12" t="s">
        <v>251</v>
      </c>
      <c r="D26" s="10" t="s">
        <v>274</v>
      </c>
      <c r="E26" s="13" t="s">
        <v>275</v>
      </c>
      <c r="F26" s="14" t="s">
        <v>116</v>
      </c>
      <c r="G26" s="15" t="s">
        <v>276</v>
      </c>
      <c r="H26" s="15" t="s">
        <v>277</v>
      </c>
      <c r="I26" s="13" t="s">
        <v>278</v>
      </c>
      <c r="J26" s="13" t="s">
        <v>279</v>
      </c>
      <c r="K26" s="15" t="s">
        <v>280</v>
      </c>
      <c r="L26" s="8" t="s">
        <v>28</v>
      </c>
      <c r="M26" s="14" t="s">
        <v>35</v>
      </c>
      <c r="N26" s="8" t="s">
        <v>57</v>
      </c>
      <c r="O26" s="15" t="s">
        <v>281</v>
      </c>
      <c r="P26" s="15" t="s">
        <v>282</v>
      </c>
    </row>
    <row r="27" spans="1:16" ht="58.25" customHeight="1">
      <c r="A27" s="8">
        <v>26</v>
      </c>
      <c r="B27" s="12" t="s">
        <v>49</v>
      </c>
      <c r="C27" s="12" t="s">
        <v>251</v>
      </c>
      <c r="D27" s="10" t="s">
        <v>283</v>
      </c>
      <c r="E27" s="13" t="s">
        <v>284</v>
      </c>
      <c r="F27" s="14" t="s">
        <v>106</v>
      </c>
      <c r="G27" s="13" t="s">
        <v>285</v>
      </c>
      <c r="H27" s="15" t="s">
        <v>286</v>
      </c>
      <c r="I27" s="13" t="s">
        <v>287</v>
      </c>
      <c r="J27" s="13" t="s">
        <v>288</v>
      </c>
      <c r="K27" s="13" t="s">
        <v>289</v>
      </c>
      <c r="L27" s="8" t="s">
        <v>28</v>
      </c>
      <c r="M27" s="14" t="s">
        <v>35</v>
      </c>
      <c r="N27" s="8" t="s">
        <v>56</v>
      </c>
      <c r="O27" s="15" t="s">
        <v>290</v>
      </c>
      <c r="P27" s="15"/>
    </row>
    <row r="28" spans="1:16" ht="58.25" customHeight="1">
      <c r="A28" s="8">
        <v>27</v>
      </c>
      <c r="B28" s="12" t="s">
        <v>49</v>
      </c>
      <c r="C28" s="12" t="s">
        <v>251</v>
      </c>
      <c r="D28" s="10" t="s">
        <v>291</v>
      </c>
      <c r="E28" s="13" t="s">
        <v>292</v>
      </c>
      <c r="F28" s="14" t="s">
        <v>106</v>
      </c>
      <c r="G28" s="13" t="s">
        <v>293</v>
      </c>
      <c r="H28" s="15" t="s">
        <v>294</v>
      </c>
      <c r="I28" s="13" t="s">
        <v>295</v>
      </c>
      <c r="J28" s="13" t="s">
        <v>296</v>
      </c>
      <c r="K28" s="13" t="s">
        <v>297</v>
      </c>
      <c r="L28" s="8" t="s">
        <v>28</v>
      </c>
      <c r="M28" s="14" t="s">
        <v>35</v>
      </c>
      <c r="N28" s="8" t="s">
        <v>56</v>
      </c>
      <c r="O28" s="15" t="s">
        <v>298</v>
      </c>
      <c r="P28" s="15"/>
    </row>
    <row r="29" spans="1:16" ht="44" customHeight="1">
      <c r="A29" s="8">
        <v>28</v>
      </c>
      <c r="B29" s="12" t="s">
        <v>49</v>
      </c>
      <c r="C29" s="12" t="s">
        <v>251</v>
      </c>
      <c r="D29" s="10" t="s">
        <v>299</v>
      </c>
      <c r="E29" s="13" t="s">
        <v>300</v>
      </c>
      <c r="F29" s="14" t="s">
        <v>116</v>
      </c>
      <c r="G29" s="13" t="s">
        <v>301</v>
      </c>
      <c r="H29" s="15" t="s">
        <v>302</v>
      </c>
      <c r="I29" s="13" t="s">
        <v>303</v>
      </c>
      <c r="J29" s="13" t="s">
        <v>118</v>
      </c>
      <c r="K29" s="13" t="s">
        <v>304</v>
      </c>
      <c r="L29" s="8" t="s">
        <v>28</v>
      </c>
      <c r="M29" s="14" t="s">
        <v>35</v>
      </c>
      <c r="N29" s="8" t="s">
        <v>56</v>
      </c>
      <c r="O29" s="15" t="s">
        <v>305</v>
      </c>
      <c r="P29" s="15"/>
    </row>
    <row r="30" spans="1:16" ht="44" customHeight="1">
      <c r="A30" s="8">
        <v>29</v>
      </c>
      <c r="B30" s="12" t="s">
        <v>49</v>
      </c>
      <c r="C30" s="12" t="s">
        <v>251</v>
      </c>
      <c r="D30" s="10" t="s">
        <v>306</v>
      </c>
      <c r="E30" s="13" t="s">
        <v>307</v>
      </c>
      <c r="F30" s="14" t="s">
        <v>106</v>
      </c>
      <c r="G30" s="13" t="s">
        <v>308</v>
      </c>
      <c r="H30" s="15" t="s">
        <v>309</v>
      </c>
      <c r="I30" s="13" t="s">
        <v>310</v>
      </c>
      <c r="J30" s="13" t="s">
        <v>311</v>
      </c>
      <c r="K30" s="13" t="s">
        <v>312</v>
      </c>
      <c r="L30" s="8" t="s">
        <v>28</v>
      </c>
      <c r="M30" s="14" t="s">
        <v>35</v>
      </c>
      <c r="N30" s="8" t="s">
        <v>56</v>
      </c>
      <c r="O30" s="15" t="s">
        <v>298</v>
      </c>
      <c r="P30" s="15"/>
    </row>
    <row r="31" spans="1:16" ht="44" customHeight="1">
      <c r="A31" s="8">
        <v>30</v>
      </c>
      <c r="B31" s="12" t="s">
        <v>49</v>
      </c>
      <c r="C31" s="12" t="s">
        <v>251</v>
      </c>
      <c r="D31" s="10" t="s">
        <v>313</v>
      </c>
      <c r="E31" s="13" t="s">
        <v>314</v>
      </c>
      <c r="F31" s="14" t="s">
        <v>116</v>
      </c>
      <c r="G31" s="13" t="s">
        <v>315</v>
      </c>
      <c r="H31" s="15" t="s">
        <v>316</v>
      </c>
      <c r="I31" s="13" t="s">
        <v>317</v>
      </c>
      <c r="J31" s="13" t="s">
        <v>318</v>
      </c>
      <c r="K31" s="13" t="s">
        <v>319</v>
      </c>
      <c r="L31" s="8" t="s">
        <v>28</v>
      </c>
      <c r="M31" s="14" t="s">
        <v>35</v>
      </c>
      <c r="N31" s="8" t="s">
        <v>58</v>
      </c>
      <c r="O31" s="15" t="s">
        <v>298</v>
      </c>
      <c r="P31" s="13"/>
    </row>
    <row r="32" spans="1:16" ht="72.25" customHeight="1">
      <c r="A32" s="8">
        <v>31</v>
      </c>
      <c r="B32" s="12" t="s">
        <v>49</v>
      </c>
      <c r="C32" s="12" t="s">
        <v>251</v>
      </c>
      <c r="D32" s="10" t="s">
        <v>320</v>
      </c>
      <c r="E32" s="13" t="s">
        <v>321</v>
      </c>
      <c r="F32" s="14" t="s">
        <v>106</v>
      </c>
      <c r="G32" s="13" t="s">
        <v>322</v>
      </c>
      <c r="H32" s="15" t="s">
        <v>323</v>
      </c>
      <c r="I32" s="13" t="s">
        <v>324</v>
      </c>
      <c r="J32" s="13" t="s">
        <v>325</v>
      </c>
      <c r="K32" s="13" t="s">
        <v>326</v>
      </c>
      <c r="L32" s="8" t="s">
        <v>28</v>
      </c>
      <c r="M32" s="14" t="s">
        <v>35</v>
      </c>
      <c r="N32" s="14" t="s">
        <v>56</v>
      </c>
      <c r="O32" s="15" t="s">
        <v>327</v>
      </c>
      <c r="P32" s="13"/>
    </row>
    <row r="33" spans="1:16" ht="44" customHeight="1">
      <c r="A33" s="8">
        <v>32</v>
      </c>
      <c r="B33" s="12" t="s">
        <v>49</v>
      </c>
      <c r="C33" s="12" t="s">
        <v>251</v>
      </c>
      <c r="D33" s="10" t="s">
        <v>328</v>
      </c>
      <c r="E33" s="13" t="s">
        <v>329</v>
      </c>
      <c r="F33" s="14" t="s">
        <v>116</v>
      </c>
      <c r="G33" s="13" t="s">
        <v>330</v>
      </c>
      <c r="H33" s="15" t="s">
        <v>331</v>
      </c>
      <c r="I33" s="13" t="s">
        <v>332</v>
      </c>
      <c r="J33" s="13" t="s">
        <v>333</v>
      </c>
      <c r="K33" s="13" t="s">
        <v>334</v>
      </c>
      <c r="L33" s="8" t="s">
        <v>28</v>
      </c>
      <c r="M33" s="14" t="s">
        <v>35</v>
      </c>
      <c r="N33" s="8" t="s">
        <v>57</v>
      </c>
      <c r="O33" s="15" t="s">
        <v>327</v>
      </c>
      <c r="P33" s="15"/>
    </row>
    <row r="34" spans="1:16" ht="29.9" customHeight="1">
      <c r="A34" s="8">
        <v>33</v>
      </c>
      <c r="B34" s="12" t="s">
        <v>49</v>
      </c>
      <c r="C34" s="12" t="s">
        <v>251</v>
      </c>
      <c r="D34" s="10" t="s">
        <v>335</v>
      </c>
      <c r="E34" s="13" t="s">
        <v>336</v>
      </c>
      <c r="F34" s="14" t="s">
        <v>106</v>
      </c>
      <c r="G34" s="13" t="s">
        <v>337</v>
      </c>
      <c r="H34" s="15" t="s">
        <v>338</v>
      </c>
      <c r="I34" s="15" t="s">
        <v>241</v>
      </c>
      <c r="J34" s="15" t="s">
        <v>339</v>
      </c>
      <c r="K34" s="13" t="s">
        <v>340</v>
      </c>
      <c r="L34" s="8" t="s">
        <v>30</v>
      </c>
      <c r="M34" s="14" t="s">
        <v>35</v>
      </c>
      <c r="N34" s="8" t="s">
        <v>58</v>
      </c>
      <c r="O34" s="15" t="s">
        <v>341</v>
      </c>
      <c r="P34" s="15"/>
    </row>
    <row r="35" spans="1:16" ht="44" customHeight="1">
      <c r="A35" s="8">
        <v>34</v>
      </c>
      <c r="B35" s="12" t="s">
        <v>49</v>
      </c>
      <c r="C35" s="12" t="s">
        <v>251</v>
      </c>
      <c r="D35" s="10" t="s">
        <v>342</v>
      </c>
      <c r="E35" s="13" t="s">
        <v>343</v>
      </c>
      <c r="F35" s="14" t="s">
        <v>106</v>
      </c>
      <c r="G35" s="13" t="s">
        <v>344</v>
      </c>
      <c r="H35" s="15" t="s">
        <v>345</v>
      </c>
      <c r="I35" s="13" t="s">
        <v>346</v>
      </c>
      <c r="J35" s="15" t="s">
        <v>347</v>
      </c>
      <c r="K35" s="13" t="s">
        <v>348</v>
      </c>
      <c r="L35" s="8" t="s">
        <v>30</v>
      </c>
      <c r="M35" s="14" t="s">
        <v>35</v>
      </c>
      <c r="N35" s="8" t="s">
        <v>58</v>
      </c>
      <c r="O35" s="15" t="s">
        <v>349</v>
      </c>
      <c r="P35" s="15" t="s">
        <v>350</v>
      </c>
    </row>
    <row r="36" spans="1:16" ht="44" customHeight="1">
      <c r="A36" s="8">
        <v>35</v>
      </c>
      <c r="B36" s="12" t="s">
        <v>49</v>
      </c>
      <c r="C36" s="12" t="s">
        <v>351</v>
      </c>
      <c r="D36" s="10" t="s">
        <v>352</v>
      </c>
      <c r="E36" s="13" t="s">
        <v>353</v>
      </c>
      <c r="F36" s="14" t="s">
        <v>116</v>
      </c>
      <c r="G36" s="13" t="s">
        <v>354</v>
      </c>
      <c r="H36" s="15" t="s">
        <v>355</v>
      </c>
      <c r="I36" s="13" t="s">
        <v>356</v>
      </c>
      <c r="J36" s="13" t="s">
        <v>357</v>
      </c>
      <c r="K36" s="13" t="s">
        <v>358</v>
      </c>
      <c r="L36" s="8" t="s">
        <v>28</v>
      </c>
      <c r="M36" s="14" t="s">
        <v>37</v>
      </c>
      <c r="N36" s="8" t="s">
        <v>59</v>
      </c>
      <c r="O36" s="15" t="s">
        <v>118</v>
      </c>
      <c r="P36" s="15" t="s">
        <v>359</v>
      </c>
    </row>
    <row r="37" spans="1:16" ht="58.25" customHeight="1">
      <c r="A37" s="8">
        <v>36</v>
      </c>
      <c r="B37" s="12" t="s">
        <v>49</v>
      </c>
      <c r="C37" s="12" t="s">
        <v>351</v>
      </c>
      <c r="D37" s="10" t="s">
        <v>360</v>
      </c>
      <c r="E37" s="13" t="s">
        <v>361</v>
      </c>
      <c r="F37" s="14" t="s">
        <v>116</v>
      </c>
      <c r="G37" s="15" t="s">
        <v>362</v>
      </c>
      <c r="H37" s="15" t="s">
        <v>363</v>
      </c>
      <c r="I37" s="13" t="s">
        <v>364</v>
      </c>
      <c r="J37" s="13" t="s">
        <v>365</v>
      </c>
      <c r="K37" s="13" t="s">
        <v>366</v>
      </c>
      <c r="L37" s="8" t="s">
        <v>28</v>
      </c>
      <c r="M37" s="14" t="s">
        <v>35</v>
      </c>
      <c r="N37" s="8" t="s">
        <v>57</v>
      </c>
      <c r="O37" s="15" t="s">
        <v>367</v>
      </c>
      <c r="P37" s="13"/>
    </row>
    <row r="38" spans="1:16" ht="44" customHeight="1">
      <c r="A38" s="8">
        <v>37</v>
      </c>
      <c r="B38" s="12" t="s">
        <v>49</v>
      </c>
      <c r="C38" s="12" t="s">
        <v>351</v>
      </c>
      <c r="D38" s="10" t="s">
        <v>368</v>
      </c>
      <c r="E38" s="13" t="s">
        <v>369</v>
      </c>
      <c r="F38" s="14" t="s">
        <v>116</v>
      </c>
      <c r="G38" s="13" t="s">
        <v>370</v>
      </c>
      <c r="H38" s="15" t="s">
        <v>118</v>
      </c>
      <c r="I38" s="13" t="s">
        <v>118</v>
      </c>
      <c r="J38" s="13" t="s">
        <v>118</v>
      </c>
      <c r="K38" s="13" t="s">
        <v>371</v>
      </c>
      <c r="L38" s="8" t="s">
        <v>28</v>
      </c>
      <c r="M38" s="14" t="s">
        <v>35</v>
      </c>
      <c r="N38" s="8" t="s">
        <v>58</v>
      </c>
      <c r="O38" s="15" t="s">
        <v>367</v>
      </c>
      <c r="P38" s="13"/>
    </row>
    <row r="39" spans="1:16" ht="44" customHeight="1">
      <c r="A39" s="8">
        <v>38</v>
      </c>
      <c r="B39" s="12" t="s">
        <v>49</v>
      </c>
      <c r="C39" s="12" t="s">
        <v>351</v>
      </c>
      <c r="D39" s="10" t="s">
        <v>372</v>
      </c>
      <c r="E39" s="13" t="s">
        <v>373</v>
      </c>
      <c r="F39" s="14" t="s">
        <v>116</v>
      </c>
      <c r="G39" s="13" t="s">
        <v>374</v>
      </c>
      <c r="H39" s="15" t="s">
        <v>118</v>
      </c>
      <c r="I39" s="15" t="s">
        <v>375</v>
      </c>
      <c r="J39" s="13" t="s">
        <v>118</v>
      </c>
      <c r="K39" s="13" t="s">
        <v>376</v>
      </c>
      <c r="L39" s="8" t="s">
        <v>28</v>
      </c>
      <c r="M39" s="14" t="s">
        <v>35</v>
      </c>
      <c r="N39" s="8" t="s">
        <v>56</v>
      </c>
      <c r="O39" s="15" t="s">
        <v>377</v>
      </c>
      <c r="P39" s="15"/>
    </row>
    <row r="40" spans="1:16" ht="29.9" customHeight="1">
      <c r="A40" s="8">
        <v>39</v>
      </c>
      <c r="B40" s="12" t="s">
        <v>49</v>
      </c>
      <c r="C40" s="12" t="s">
        <v>351</v>
      </c>
      <c r="D40" s="10" t="s">
        <v>378</v>
      </c>
      <c r="E40" s="13" t="s">
        <v>379</v>
      </c>
      <c r="F40" s="14" t="s">
        <v>116</v>
      </c>
      <c r="G40" s="13" t="s">
        <v>380</v>
      </c>
      <c r="H40" s="15" t="s">
        <v>381</v>
      </c>
      <c r="I40" s="13" t="s">
        <v>382</v>
      </c>
      <c r="J40" s="13" t="s">
        <v>383</v>
      </c>
      <c r="K40" s="13" t="s">
        <v>384</v>
      </c>
      <c r="L40" s="8" t="s">
        <v>28</v>
      </c>
      <c r="M40" s="14" t="s">
        <v>35</v>
      </c>
      <c r="N40" s="8" t="s">
        <v>56</v>
      </c>
      <c r="O40" s="15" t="s">
        <v>367</v>
      </c>
      <c r="P40" s="15"/>
    </row>
    <row r="41" spans="1:16" ht="29.9" customHeight="1">
      <c r="A41" s="8">
        <v>40</v>
      </c>
      <c r="B41" s="12" t="s">
        <v>49</v>
      </c>
      <c r="C41" s="12" t="s">
        <v>351</v>
      </c>
      <c r="D41" s="10" t="s">
        <v>385</v>
      </c>
      <c r="E41" s="15" t="s">
        <v>386</v>
      </c>
      <c r="F41" s="14" t="s">
        <v>116</v>
      </c>
      <c r="G41" s="13" t="s">
        <v>387</v>
      </c>
      <c r="H41" s="15" t="s">
        <v>388</v>
      </c>
      <c r="I41" s="13" t="s">
        <v>389</v>
      </c>
      <c r="J41" s="15" t="s">
        <v>390</v>
      </c>
      <c r="K41" s="13" t="s">
        <v>391</v>
      </c>
      <c r="L41" s="8" t="s">
        <v>30</v>
      </c>
      <c r="M41" s="14" t="s">
        <v>35</v>
      </c>
      <c r="N41" s="8" t="s">
        <v>58</v>
      </c>
      <c r="O41" s="15" t="s">
        <v>367</v>
      </c>
      <c r="P41" s="15" t="s">
        <v>392</v>
      </c>
    </row>
    <row r="42" spans="1:16" ht="44" customHeight="1">
      <c r="A42" s="8">
        <v>41</v>
      </c>
      <c r="B42" s="12" t="s">
        <v>49</v>
      </c>
      <c r="C42" s="12" t="s">
        <v>351</v>
      </c>
      <c r="D42" s="10" t="s">
        <v>393</v>
      </c>
      <c r="E42" s="13" t="s">
        <v>394</v>
      </c>
      <c r="F42" s="14" t="s">
        <v>116</v>
      </c>
      <c r="G42" s="13" t="s">
        <v>395</v>
      </c>
      <c r="H42" s="15" t="s">
        <v>396</v>
      </c>
      <c r="I42" s="13" t="s">
        <v>397</v>
      </c>
      <c r="J42" s="15" t="s">
        <v>398</v>
      </c>
      <c r="K42" s="13" t="s">
        <v>399</v>
      </c>
      <c r="L42" s="8" t="s">
        <v>28</v>
      </c>
      <c r="M42" s="14" t="s">
        <v>35</v>
      </c>
      <c r="N42" s="8" t="s">
        <v>56</v>
      </c>
      <c r="O42" s="15" t="s">
        <v>367</v>
      </c>
      <c r="P42" s="15" t="s">
        <v>400</v>
      </c>
    </row>
    <row r="43" spans="1:16" ht="35" customHeight="1">
      <c r="A43" s="8">
        <v>42</v>
      </c>
      <c r="B43" s="12" t="s">
        <v>49</v>
      </c>
      <c r="C43" s="12" t="s">
        <v>351</v>
      </c>
      <c r="D43" s="10" t="s">
        <v>401</v>
      </c>
      <c r="E43" s="13" t="s">
        <v>402</v>
      </c>
      <c r="F43" s="14" t="s">
        <v>116</v>
      </c>
      <c r="G43" s="13" t="s">
        <v>403</v>
      </c>
      <c r="H43" s="15" t="s">
        <v>404</v>
      </c>
      <c r="I43" s="13" t="s">
        <v>118</v>
      </c>
      <c r="J43" s="13" t="s">
        <v>405</v>
      </c>
      <c r="K43" s="13" t="s">
        <v>406</v>
      </c>
      <c r="L43" s="8" t="s">
        <v>28</v>
      </c>
      <c r="M43" s="14" t="s">
        <v>35</v>
      </c>
      <c r="N43" s="8" t="s">
        <v>57</v>
      </c>
      <c r="O43" s="15" t="s">
        <v>367</v>
      </c>
      <c r="P43" s="13"/>
    </row>
    <row r="44" spans="1:16" ht="58.25" customHeight="1">
      <c r="A44" s="8">
        <v>43</v>
      </c>
      <c r="B44" s="12" t="s">
        <v>49</v>
      </c>
      <c r="C44" s="12" t="s">
        <v>351</v>
      </c>
      <c r="D44" s="10" t="s">
        <v>407</v>
      </c>
      <c r="E44" s="13" t="s">
        <v>408</v>
      </c>
      <c r="F44" s="14" t="s">
        <v>106</v>
      </c>
      <c r="G44" s="13" t="s">
        <v>409</v>
      </c>
      <c r="H44" s="15" t="s">
        <v>410</v>
      </c>
      <c r="I44" s="13" t="s">
        <v>411</v>
      </c>
      <c r="J44" s="15" t="s">
        <v>412</v>
      </c>
      <c r="K44" s="13" t="s">
        <v>413</v>
      </c>
      <c r="L44" s="8" t="s">
        <v>30</v>
      </c>
      <c r="M44" s="14" t="s">
        <v>35</v>
      </c>
      <c r="N44" s="8" t="s">
        <v>56</v>
      </c>
      <c r="O44" s="15" t="s">
        <v>367</v>
      </c>
      <c r="P44" s="15"/>
    </row>
    <row r="45" spans="1:16" ht="29.9" customHeight="1">
      <c r="A45" s="8">
        <v>44</v>
      </c>
      <c r="B45" s="12" t="s">
        <v>49</v>
      </c>
      <c r="C45" s="12" t="s">
        <v>351</v>
      </c>
      <c r="D45" s="10" t="s">
        <v>414</v>
      </c>
      <c r="E45" s="13" t="s">
        <v>415</v>
      </c>
      <c r="F45" s="14" t="s">
        <v>116</v>
      </c>
      <c r="G45" s="13" t="s">
        <v>416</v>
      </c>
      <c r="H45" s="15" t="s">
        <v>417</v>
      </c>
      <c r="I45" s="13" t="s">
        <v>329</v>
      </c>
      <c r="J45" s="13" t="s">
        <v>118</v>
      </c>
      <c r="K45" s="13" t="s">
        <v>418</v>
      </c>
      <c r="L45" s="8" t="s">
        <v>28</v>
      </c>
      <c r="M45" s="14" t="s">
        <v>35</v>
      </c>
      <c r="N45" s="8" t="s">
        <v>57</v>
      </c>
      <c r="O45" s="15" t="s">
        <v>419</v>
      </c>
      <c r="P45" s="15"/>
    </row>
    <row r="46" spans="1:16" ht="55.25" customHeight="1">
      <c r="A46" s="8">
        <v>45</v>
      </c>
      <c r="B46" s="12" t="s">
        <v>50</v>
      </c>
      <c r="C46" s="12" t="s">
        <v>420</v>
      </c>
      <c r="D46" s="10" t="s">
        <v>421</v>
      </c>
      <c r="E46" s="13" t="s">
        <v>422</v>
      </c>
      <c r="F46" s="14" t="s">
        <v>116</v>
      </c>
      <c r="G46" s="13" t="s">
        <v>423</v>
      </c>
      <c r="H46" s="15" t="s">
        <v>424</v>
      </c>
      <c r="I46" s="13" t="s">
        <v>425</v>
      </c>
      <c r="J46" s="13" t="s">
        <v>118</v>
      </c>
      <c r="K46" s="13" t="s">
        <v>426</v>
      </c>
      <c r="L46" s="8" t="s">
        <v>28</v>
      </c>
      <c r="M46" s="14" t="s">
        <v>35</v>
      </c>
      <c r="N46" s="8" t="s">
        <v>56</v>
      </c>
      <c r="O46" s="15" t="s">
        <v>427</v>
      </c>
      <c r="P46" s="15"/>
    </row>
    <row r="47" spans="1:16" ht="44" customHeight="1">
      <c r="A47" s="8">
        <v>46</v>
      </c>
      <c r="B47" s="12" t="s">
        <v>50</v>
      </c>
      <c r="C47" s="12" t="s">
        <v>420</v>
      </c>
      <c r="D47" s="10" t="s">
        <v>428</v>
      </c>
      <c r="E47" s="13" t="s">
        <v>429</v>
      </c>
      <c r="F47" s="14" t="s">
        <v>116</v>
      </c>
      <c r="G47" s="13" t="s">
        <v>430</v>
      </c>
      <c r="H47" s="15" t="s">
        <v>431</v>
      </c>
      <c r="I47" s="13" t="s">
        <v>432</v>
      </c>
      <c r="J47" s="13" t="s">
        <v>433</v>
      </c>
      <c r="K47" s="13" t="s">
        <v>434</v>
      </c>
      <c r="L47" s="8" t="s">
        <v>28</v>
      </c>
      <c r="M47" s="14" t="s">
        <v>35</v>
      </c>
      <c r="N47" s="8" t="s">
        <v>57</v>
      </c>
      <c r="O47" s="15" t="s">
        <v>435</v>
      </c>
      <c r="P47" s="15" t="s">
        <v>436</v>
      </c>
    </row>
    <row r="48" spans="1:16" ht="29.9" customHeight="1">
      <c r="A48" s="8">
        <v>47</v>
      </c>
      <c r="B48" s="12" t="s">
        <v>50</v>
      </c>
      <c r="C48" s="12" t="s">
        <v>420</v>
      </c>
      <c r="D48" s="10" t="s">
        <v>437</v>
      </c>
      <c r="E48" s="13" t="s">
        <v>438</v>
      </c>
      <c r="F48" s="14" t="s">
        <v>116</v>
      </c>
      <c r="G48" s="13" t="s">
        <v>439</v>
      </c>
      <c r="H48" s="15" t="s">
        <v>440</v>
      </c>
      <c r="I48" s="13" t="s">
        <v>441</v>
      </c>
      <c r="J48" s="15" t="s">
        <v>442</v>
      </c>
      <c r="K48" s="13" t="s">
        <v>443</v>
      </c>
      <c r="L48" s="8" t="s">
        <v>28</v>
      </c>
      <c r="M48" s="14" t="s">
        <v>35</v>
      </c>
      <c r="N48" s="8" t="s">
        <v>56</v>
      </c>
      <c r="O48" s="15" t="s">
        <v>444</v>
      </c>
      <c r="P48" s="15"/>
    </row>
    <row r="49" spans="1:16" ht="29.9" customHeight="1">
      <c r="A49" s="8">
        <v>48</v>
      </c>
      <c r="B49" s="12" t="s">
        <v>50</v>
      </c>
      <c r="C49" s="12" t="s">
        <v>420</v>
      </c>
      <c r="D49" s="10" t="s">
        <v>445</v>
      </c>
      <c r="E49" s="13" t="s">
        <v>446</v>
      </c>
      <c r="F49" s="14" t="s">
        <v>116</v>
      </c>
      <c r="G49" s="15" t="s">
        <v>447</v>
      </c>
      <c r="H49" s="15" t="s">
        <v>448</v>
      </c>
      <c r="I49" s="15" t="s">
        <v>449</v>
      </c>
      <c r="J49" s="15" t="s">
        <v>450</v>
      </c>
      <c r="K49" s="13" t="s">
        <v>451</v>
      </c>
      <c r="L49" s="8" t="s">
        <v>28</v>
      </c>
      <c r="M49" s="14" t="s">
        <v>35</v>
      </c>
      <c r="N49" s="8" t="s">
        <v>57</v>
      </c>
      <c r="O49" s="15" t="s">
        <v>452</v>
      </c>
      <c r="P49" s="15"/>
    </row>
    <row r="50" spans="1:16" ht="29.9" customHeight="1">
      <c r="A50" s="8">
        <v>49</v>
      </c>
      <c r="B50" s="12" t="s">
        <v>50</v>
      </c>
      <c r="C50" s="12" t="s">
        <v>420</v>
      </c>
      <c r="D50" s="10" t="s">
        <v>453</v>
      </c>
      <c r="E50" s="13" t="s">
        <v>454</v>
      </c>
      <c r="F50" s="14" t="s">
        <v>116</v>
      </c>
      <c r="G50" s="13" t="s">
        <v>455</v>
      </c>
      <c r="H50" s="15" t="s">
        <v>456</v>
      </c>
      <c r="I50" s="13" t="s">
        <v>457</v>
      </c>
      <c r="J50" s="15" t="s">
        <v>458</v>
      </c>
      <c r="K50" s="13" t="s">
        <v>459</v>
      </c>
      <c r="L50" s="8" t="s">
        <v>28</v>
      </c>
      <c r="M50" s="14" t="s">
        <v>35</v>
      </c>
      <c r="N50" s="8" t="s">
        <v>56</v>
      </c>
      <c r="O50" s="15" t="s">
        <v>460</v>
      </c>
      <c r="P50" s="15"/>
    </row>
    <row r="51" spans="1:16" ht="29.9" customHeight="1">
      <c r="A51" s="8">
        <v>50</v>
      </c>
      <c r="B51" s="12" t="s">
        <v>50</v>
      </c>
      <c r="C51" s="12" t="s">
        <v>420</v>
      </c>
      <c r="D51" s="10" t="s">
        <v>461</v>
      </c>
      <c r="E51" s="13" t="s">
        <v>462</v>
      </c>
      <c r="F51" s="14" t="s">
        <v>116</v>
      </c>
      <c r="G51" s="13" t="s">
        <v>463</v>
      </c>
      <c r="H51" s="15" t="s">
        <v>464</v>
      </c>
      <c r="I51" s="13" t="s">
        <v>465</v>
      </c>
      <c r="J51" s="15" t="s">
        <v>466</v>
      </c>
      <c r="K51" s="13" t="s">
        <v>467</v>
      </c>
      <c r="L51" s="8" t="s">
        <v>28</v>
      </c>
      <c r="M51" s="14" t="s">
        <v>35</v>
      </c>
      <c r="N51" s="8" t="s">
        <v>58</v>
      </c>
      <c r="O51" s="15" t="s">
        <v>460</v>
      </c>
      <c r="P51" s="15"/>
    </row>
    <row r="52" spans="1:16" ht="29.9" customHeight="1">
      <c r="A52" s="8">
        <v>51</v>
      </c>
      <c r="B52" s="12" t="s">
        <v>50</v>
      </c>
      <c r="C52" s="12" t="s">
        <v>420</v>
      </c>
      <c r="D52" s="10" t="s">
        <v>468</v>
      </c>
      <c r="E52" s="13" t="s">
        <v>469</v>
      </c>
      <c r="F52" s="14" t="s">
        <v>116</v>
      </c>
      <c r="G52" s="13" t="s">
        <v>470</v>
      </c>
      <c r="H52" s="15" t="s">
        <v>471</v>
      </c>
      <c r="I52" s="15" t="s">
        <v>449</v>
      </c>
      <c r="J52" s="15" t="s">
        <v>118</v>
      </c>
      <c r="K52" s="13" t="s">
        <v>472</v>
      </c>
      <c r="L52" s="8" t="s">
        <v>28</v>
      </c>
      <c r="M52" s="14" t="s">
        <v>35</v>
      </c>
      <c r="N52" s="8" t="s">
        <v>57</v>
      </c>
      <c r="O52" s="15" t="s">
        <v>473</v>
      </c>
      <c r="P52" s="15"/>
    </row>
    <row r="53" spans="1:16" ht="72.25" customHeight="1">
      <c r="A53" s="8">
        <v>52</v>
      </c>
      <c r="B53" s="12" t="s">
        <v>50</v>
      </c>
      <c r="C53" s="12" t="s">
        <v>420</v>
      </c>
      <c r="D53" s="10" t="s">
        <v>474</v>
      </c>
      <c r="E53" s="13" t="s">
        <v>475</v>
      </c>
      <c r="F53" s="14" t="s">
        <v>116</v>
      </c>
      <c r="G53" s="13" t="s">
        <v>476</v>
      </c>
      <c r="H53" s="15" t="s">
        <v>118</v>
      </c>
      <c r="I53" s="13" t="s">
        <v>118</v>
      </c>
      <c r="J53" s="13" t="s">
        <v>118</v>
      </c>
      <c r="K53" s="13" t="s">
        <v>477</v>
      </c>
      <c r="L53" s="8" t="s">
        <v>30</v>
      </c>
      <c r="M53" s="14" t="s">
        <v>35</v>
      </c>
      <c r="N53" s="8" t="s">
        <v>56</v>
      </c>
      <c r="O53" s="15" t="s">
        <v>473</v>
      </c>
      <c r="P53" s="15"/>
    </row>
    <row r="54" spans="1:16" ht="29.9" customHeight="1">
      <c r="A54" s="8">
        <v>53</v>
      </c>
      <c r="B54" s="12" t="s">
        <v>50</v>
      </c>
      <c r="C54" s="12" t="s">
        <v>420</v>
      </c>
      <c r="D54" s="10" t="s">
        <v>478</v>
      </c>
      <c r="E54" s="13" t="s">
        <v>479</v>
      </c>
      <c r="F54" s="14" t="s">
        <v>116</v>
      </c>
      <c r="G54" s="13" t="s">
        <v>480</v>
      </c>
      <c r="H54" s="15" t="s">
        <v>481</v>
      </c>
      <c r="I54" s="13" t="s">
        <v>241</v>
      </c>
      <c r="J54" s="13" t="s">
        <v>118</v>
      </c>
      <c r="K54" s="15" t="s">
        <v>482</v>
      </c>
      <c r="L54" s="8" t="s">
        <v>30</v>
      </c>
      <c r="M54" s="14" t="s">
        <v>35</v>
      </c>
      <c r="N54" s="8" t="s">
        <v>58</v>
      </c>
      <c r="O54" s="15" t="s">
        <v>427</v>
      </c>
      <c r="P54" s="15"/>
    </row>
    <row r="55" spans="1:16" ht="29.9" customHeight="1">
      <c r="A55" s="8">
        <v>54</v>
      </c>
      <c r="B55" s="12" t="s">
        <v>50</v>
      </c>
      <c r="C55" s="12" t="s">
        <v>483</v>
      </c>
      <c r="D55" s="10" t="s">
        <v>484</v>
      </c>
      <c r="E55" s="13" t="s">
        <v>485</v>
      </c>
      <c r="F55" s="14" t="s">
        <v>116</v>
      </c>
      <c r="G55" s="13" t="s">
        <v>486</v>
      </c>
      <c r="H55" s="15" t="s">
        <v>487</v>
      </c>
      <c r="I55" s="13" t="s">
        <v>449</v>
      </c>
      <c r="J55" s="15" t="s">
        <v>118</v>
      </c>
      <c r="K55" s="13" t="s">
        <v>488</v>
      </c>
      <c r="L55" s="8" t="s">
        <v>28</v>
      </c>
      <c r="M55" s="14" t="s">
        <v>35</v>
      </c>
      <c r="N55" s="8" t="s">
        <v>56</v>
      </c>
      <c r="O55" s="15" t="s">
        <v>460</v>
      </c>
      <c r="P55" s="15"/>
    </row>
    <row r="56" spans="1:16" ht="72.25" customHeight="1">
      <c r="A56" s="8">
        <v>55</v>
      </c>
      <c r="B56" s="12" t="s">
        <v>50</v>
      </c>
      <c r="C56" s="12" t="s">
        <v>483</v>
      </c>
      <c r="D56" s="10" t="s">
        <v>489</v>
      </c>
      <c r="E56" s="13" t="s">
        <v>490</v>
      </c>
      <c r="F56" s="14" t="s">
        <v>106</v>
      </c>
      <c r="G56" s="13" t="s">
        <v>491</v>
      </c>
      <c r="H56" s="15" t="s">
        <v>492</v>
      </c>
      <c r="I56" s="13" t="s">
        <v>118</v>
      </c>
      <c r="J56" s="13" t="s">
        <v>118</v>
      </c>
      <c r="K56" s="13" t="s">
        <v>493</v>
      </c>
      <c r="L56" s="8" t="s">
        <v>28</v>
      </c>
      <c r="M56" s="14" t="s">
        <v>35</v>
      </c>
      <c r="N56" s="8" t="s">
        <v>56</v>
      </c>
      <c r="O56" s="15" t="s">
        <v>494</v>
      </c>
      <c r="P56" s="15"/>
    </row>
    <row r="57" spans="1:16" ht="72.25" customHeight="1">
      <c r="A57" s="8">
        <v>56</v>
      </c>
      <c r="B57" s="12" t="s">
        <v>50</v>
      </c>
      <c r="C57" s="12" t="s">
        <v>483</v>
      </c>
      <c r="D57" s="10" t="s">
        <v>495</v>
      </c>
      <c r="E57" s="13" t="s">
        <v>496</v>
      </c>
      <c r="F57" s="14" t="s">
        <v>106</v>
      </c>
      <c r="G57" s="13" t="s">
        <v>497</v>
      </c>
      <c r="H57" s="15" t="s">
        <v>498</v>
      </c>
      <c r="I57" s="13" t="s">
        <v>499</v>
      </c>
      <c r="J57" s="13" t="s">
        <v>500</v>
      </c>
      <c r="K57" s="13" t="s">
        <v>501</v>
      </c>
      <c r="L57" s="8" t="s">
        <v>28</v>
      </c>
      <c r="M57" s="14" t="s">
        <v>35</v>
      </c>
      <c r="N57" s="8" t="s">
        <v>56</v>
      </c>
      <c r="O57" s="15" t="s">
        <v>502</v>
      </c>
      <c r="P57" s="15"/>
    </row>
    <row r="58" spans="1:16" ht="29.9" customHeight="1">
      <c r="A58" s="8">
        <v>57</v>
      </c>
      <c r="B58" s="12" t="s">
        <v>50</v>
      </c>
      <c r="C58" s="12" t="s">
        <v>483</v>
      </c>
      <c r="D58" s="10" t="s">
        <v>503</v>
      </c>
      <c r="E58" s="13" t="s">
        <v>504</v>
      </c>
      <c r="F58" s="14" t="s">
        <v>116</v>
      </c>
      <c r="G58" s="13" t="s">
        <v>505</v>
      </c>
      <c r="H58" s="15" t="s">
        <v>506</v>
      </c>
      <c r="I58" s="13" t="s">
        <v>507</v>
      </c>
      <c r="J58" s="13" t="s">
        <v>508</v>
      </c>
      <c r="K58" s="13" t="s">
        <v>509</v>
      </c>
      <c r="L58" s="8" t="s">
        <v>28</v>
      </c>
      <c r="M58" s="14" t="s">
        <v>35</v>
      </c>
      <c r="N58" s="8" t="s">
        <v>57</v>
      </c>
      <c r="O58" s="15" t="s">
        <v>502</v>
      </c>
      <c r="P58" s="15"/>
    </row>
    <row r="59" spans="1:16" ht="72.25" customHeight="1">
      <c r="A59" s="8">
        <v>58</v>
      </c>
      <c r="B59" s="12" t="s">
        <v>50</v>
      </c>
      <c r="C59" s="12" t="s">
        <v>483</v>
      </c>
      <c r="D59" s="10" t="s">
        <v>510</v>
      </c>
      <c r="E59" s="13" t="s">
        <v>511</v>
      </c>
      <c r="F59" s="14" t="s">
        <v>116</v>
      </c>
      <c r="G59" s="13" t="s">
        <v>512</v>
      </c>
      <c r="H59" s="15" t="s">
        <v>513</v>
      </c>
      <c r="I59" s="15" t="s">
        <v>514</v>
      </c>
      <c r="J59" s="13" t="s">
        <v>118</v>
      </c>
      <c r="K59" s="13" t="s">
        <v>515</v>
      </c>
      <c r="L59" s="8" t="s">
        <v>28</v>
      </c>
      <c r="M59" s="14" t="s">
        <v>35</v>
      </c>
      <c r="N59" s="14" t="s">
        <v>57</v>
      </c>
      <c r="O59" s="15" t="s">
        <v>502</v>
      </c>
      <c r="P59" s="13"/>
    </row>
    <row r="60" spans="1:16" ht="44" customHeight="1">
      <c r="A60" s="8">
        <v>59</v>
      </c>
      <c r="B60" s="12" t="s">
        <v>50</v>
      </c>
      <c r="C60" s="12" t="s">
        <v>483</v>
      </c>
      <c r="D60" s="10" t="s">
        <v>516</v>
      </c>
      <c r="E60" s="13" t="s">
        <v>517</v>
      </c>
      <c r="F60" s="14" t="s">
        <v>116</v>
      </c>
      <c r="G60" s="13" t="s">
        <v>518</v>
      </c>
      <c r="H60" s="15" t="s">
        <v>519</v>
      </c>
      <c r="I60" s="13" t="s">
        <v>520</v>
      </c>
      <c r="J60" s="13" t="s">
        <v>521</v>
      </c>
      <c r="K60" s="13" t="s">
        <v>522</v>
      </c>
      <c r="L60" s="8" t="s">
        <v>30</v>
      </c>
      <c r="M60" s="14" t="s">
        <v>35</v>
      </c>
      <c r="N60" s="8" t="s">
        <v>56</v>
      </c>
      <c r="O60" s="15" t="s">
        <v>523</v>
      </c>
      <c r="P60" s="15"/>
    </row>
    <row r="61" spans="1:16" ht="29.9" customHeight="1">
      <c r="A61" s="8">
        <v>60</v>
      </c>
      <c r="B61" s="12" t="s">
        <v>50</v>
      </c>
      <c r="C61" s="12" t="s">
        <v>483</v>
      </c>
      <c r="D61" s="10" t="s">
        <v>524</v>
      </c>
      <c r="E61" s="13" t="s">
        <v>525</v>
      </c>
      <c r="F61" s="14" t="s">
        <v>116</v>
      </c>
      <c r="G61" s="13" t="s">
        <v>526</v>
      </c>
      <c r="H61" s="15" t="s">
        <v>527</v>
      </c>
      <c r="I61" s="13" t="s">
        <v>528</v>
      </c>
      <c r="J61" s="15" t="s">
        <v>529</v>
      </c>
      <c r="K61" s="13" t="s">
        <v>530</v>
      </c>
      <c r="L61" s="8" t="s">
        <v>28</v>
      </c>
      <c r="M61" s="14" t="s">
        <v>35</v>
      </c>
      <c r="N61" s="8" t="s">
        <v>58</v>
      </c>
      <c r="O61" s="15" t="s">
        <v>494</v>
      </c>
      <c r="P61" s="15" t="s">
        <v>531</v>
      </c>
    </row>
    <row r="62" spans="1:16" ht="58.25" customHeight="1">
      <c r="A62" s="8">
        <v>61</v>
      </c>
      <c r="B62" s="12" t="s">
        <v>50</v>
      </c>
      <c r="C62" s="12" t="s">
        <v>483</v>
      </c>
      <c r="D62" s="10" t="s">
        <v>532</v>
      </c>
      <c r="E62" s="13" t="s">
        <v>533</v>
      </c>
      <c r="F62" s="14" t="s">
        <v>106</v>
      </c>
      <c r="G62" s="13" t="s">
        <v>534</v>
      </c>
      <c r="H62" s="15" t="s">
        <v>535</v>
      </c>
      <c r="I62" s="13" t="s">
        <v>536</v>
      </c>
      <c r="J62" s="13" t="s">
        <v>235</v>
      </c>
      <c r="K62" s="13" t="s">
        <v>537</v>
      </c>
      <c r="L62" s="8" t="s">
        <v>28</v>
      </c>
      <c r="M62" s="14" t="s">
        <v>35</v>
      </c>
      <c r="N62" s="8" t="s">
        <v>58</v>
      </c>
      <c r="O62" s="15" t="s">
        <v>538</v>
      </c>
      <c r="P62" s="15"/>
    </row>
    <row r="63" spans="1:16" ht="58.25" customHeight="1">
      <c r="A63" s="8">
        <v>62</v>
      </c>
      <c r="B63" s="12" t="s">
        <v>50</v>
      </c>
      <c r="C63" s="12" t="s">
        <v>539</v>
      </c>
      <c r="D63" s="10" t="s">
        <v>540</v>
      </c>
      <c r="E63" s="13" t="s">
        <v>541</v>
      </c>
      <c r="F63" s="14" t="s">
        <v>116</v>
      </c>
      <c r="G63" s="13" t="s">
        <v>542</v>
      </c>
      <c r="H63" s="15" t="s">
        <v>543</v>
      </c>
      <c r="I63" s="13" t="s">
        <v>118</v>
      </c>
      <c r="J63" s="13" t="s">
        <v>544</v>
      </c>
      <c r="K63" s="13" t="s">
        <v>545</v>
      </c>
      <c r="L63" s="8" t="s">
        <v>28</v>
      </c>
      <c r="M63" s="14" t="s">
        <v>37</v>
      </c>
      <c r="N63" s="8" t="s">
        <v>59</v>
      </c>
      <c r="O63" s="15" t="s">
        <v>546</v>
      </c>
      <c r="P63" s="15" t="s">
        <v>547</v>
      </c>
    </row>
    <row r="64" spans="1:16" ht="23.9" customHeight="1">
      <c r="A64" s="8">
        <v>63</v>
      </c>
      <c r="B64" s="12" t="s">
        <v>50</v>
      </c>
      <c r="C64" s="12" t="s">
        <v>539</v>
      </c>
      <c r="D64" s="10" t="s">
        <v>548</v>
      </c>
      <c r="E64" s="15" t="s">
        <v>549</v>
      </c>
      <c r="F64" s="14" t="s">
        <v>116</v>
      </c>
      <c r="G64" s="15" t="s">
        <v>550</v>
      </c>
      <c r="H64" s="15" t="s">
        <v>551</v>
      </c>
      <c r="I64" s="13" t="s">
        <v>507</v>
      </c>
      <c r="J64" s="15" t="s">
        <v>552</v>
      </c>
      <c r="K64" s="13" t="s">
        <v>553</v>
      </c>
      <c r="L64" s="8" t="s">
        <v>30</v>
      </c>
      <c r="M64" s="14" t="s">
        <v>35</v>
      </c>
      <c r="N64" s="8" t="s">
        <v>57</v>
      </c>
      <c r="O64" s="15" t="s">
        <v>494</v>
      </c>
      <c r="P64" s="15"/>
    </row>
    <row r="65" spans="1:16" ht="44" customHeight="1">
      <c r="A65" s="8">
        <v>64</v>
      </c>
      <c r="B65" s="12" t="s">
        <v>50</v>
      </c>
      <c r="C65" s="12" t="s">
        <v>539</v>
      </c>
      <c r="D65" s="10" t="s">
        <v>554</v>
      </c>
      <c r="E65" s="13" t="s">
        <v>555</v>
      </c>
      <c r="F65" s="14" t="s">
        <v>106</v>
      </c>
      <c r="G65" s="13" t="s">
        <v>556</v>
      </c>
      <c r="H65" s="15" t="s">
        <v>557</v>
      </c>
      <c r="I65" s="13" t="s">
        <v>558</v>
      </c>
      <c r="J65" s="13" t="s">
        <v>118</v>
      </c>
      <c r="K65" s="13" t="s">
        <v>559</v>
      </c>
      <c r="L65" s="8" t="s">
        <v>28</v>
      </c>
      <c r="M65" s="14" t="s">
        <v>35</v>
      </c>
      <c r="N65" s="8" t="s">
        <v>56</v>
      </c>
      <c r="O65" s="15" t="s">
        <v>494</v>
      </c>
      <c r="P65" s="15"/>
    </row>
    <row r="66" spans="1:16" ht="58.25" customHeight="1">
      <c r="A66" s="8">
        <v>65</v>
      </c>
      <c r="B66" s="12" t="s">
        <v>50</v>
      </c>
      <c r="C66" s="12" t="s">
        <v>539</v>
      </c>
      <c r="D66" s="10" t="s">
        <v>560</v>
      </c>
      <c r="E66" s="13" t="s">
        <v>561</v>
      </c>
      <c r="F66" s="14" t="s">
        <v>116</v>
      </c>
      <c r="G66" s="13" t="s">
        <v>562</v>
      </c>
      <c r="H66" s="15" t="s">
        <v>563</v>
      </c>
      <c r="I66" s="13" t="s">
        <v>555</v>
      </c>
      <c r="J66" s="15" t="s">
        <v>564</v>
      </c>
      <c r="K66" s="13" t="s">
        <v>565</v>
      </c>
      <c r="L66" s="8" t="s">
        <v>28</v>
      </c>
      <c r="M66" s="14" t="s">
        <v>35</v>
      </c>
      <c r="N66" s="8" t="s">
        <v>57</v>
      </c>
      <c r="O66" s="15" t="s">
        <v>502</v>
      </c>
      <c r="P66" s="15"/>
    </row>
    <row r="67" spans="1:16" ht="44" customHeight="1">
      <c r="A67" s="8">
        <v>66</v>
      </c>
      <c r="B67" s="12" t="s">
        <v>50</v>
      </c>
      <c r="C67" s="12" t="s">
        <v>539</v>
      </c>
      <c r="D67" s="10" t="s">
        <v>566</v>
      </c>
      <c r="E67" s="13" t="s">
        <v>567</v>
      </c>
      <c r="F67" s="14" t="s">
        <v>106</v>
      </c>
      <c r="G67" s="13" t="s">
        <v>568</v>
      </c>
      <c r="H67" s="15" t="s">
        <v>569</v>
      </c>
      <c r="I67" s="13" t="s">
        <v>570</v>
      </c>
      <c r="J67" s="13" t="s">
        <v>571</v>
      </c>
      <c r="K67" s="13" t="s">
        <v>572</v>
      </c>
      <c r="L67" s="8" t="s">
        <v>30</v>
      </c>
      <c r="M67" s="14" t="s">
        <v>35</v>
      </c>
      <c r="N67" s="8" t="s">
        <v>58</v>
      </c>
      <c r="O67" s="15" t="s">
        <v>573</v>
      </c>
      <c r="P67" s="15"/>
    </row>
    <row r="68" spans="1:16" ht="44" customHeight="1">
      <c r="A68" s="8">
        <v>67</v>
      </c>
      <c r="B68" s="12" t="s">
        <v>50</v>
      </c>
      <c r="C68" s="12" t="s">
        <v>574</v>
      </c>
      <c r="D68" s="10" t="s">
        <v>575</v>
      </c>
      <c r="E68" s="13" t="s">
        <v>576</v>
      </c>
      <c r="F68" s="14" t="s">
        <v>116</v>
      </c>
      <c r="G68" s="13" t="s">
        <v>577</v>
      </c>
      <c r="H68" s="15" t="s">
        <v>578</v>
      </c>
      <c r="I68" s="13" t="s">
        <v>579</v>
      </c>
      <c r="J68" s="13" t="s">
        <v>118</v>
      </c>
      <c r="K68" s="13" t="s">
        <v>580</v>
      </c>
      <c r="L68" s="8" t="s">
        <v>28</v>
      </c>
      <c r="M68" s="14" t="s">
        <v>35</v>
      </c>
      <c r="N68" s="8" t="s">
        <v>56</v>
      </c>
      <c r="O68" s="15" t="s">
        <v>573</v>
      </c>
      <c r="P68" s="15"/>
    </row>
    <row r="69" spans="1:16" ht="29.9" customHeight="1">
      <c r="A69" s="8">
        <v>68</v>
      </c>
      <c r="B69" s="12" t="s">
        <v>50</v>
      </c>
      <c r="C69" s="12" t="s">
        <v>574</v>
      </c>
      <c r="D69" s="10" t="s">
        <v>581</v>
      </c>
      <c r="E69" s="13" t="s">
        <v>582</v>
      </c>
      <c r="F69" s="14" t="s">
        <v>116</v>
      </c>
      <c r="G69" s="13" t="s">
        <v>583</v>
      </c>
      <c r="H69" s="15" t="s">
        <v>584</v>
      </c>
      <c r="I69" s="13" t="s">
        <v>585</v>
      </c>
      <c r="J69" s="15" t="s">
        <v>586</v>
      </c>
      <c r="K69" s="13" t="s">
        <v>587</v>
      </c>
      <c r="L69" s="8" t="s">
        <v>28</v>
      </c>
      <c r="M69" s="14" t="s">
        <v>35</v>
      </c>
      <c r="N69" s="8" t="s">
        <v>57</v>
      </c>
      <c r="O69" s="15" t="s">
        <v>588</v>
      </c>
      <c r="P69" s="15"/>
    </row>
    <row r="70" spans="1:16" ht="114.9" customHeight="1">
      <c r="A70" s="8">
        <v>69</v>
      </c>
      <c r="B70" s="12" t="s">
        <v>50</v>
      </c>
      <c r="C70" s="12" t="s">
        <v>574</v>
      </c>
      <c r="D70" s="10" t="s">
        <v>589</v>
      </c>
      <c r="E70" s="13" t="s">
        <v>590</v>
      </c>
      <c r="F70" s="14" t="s">
        <v>116</v>
      </c>
      <c r="G70" s="13" t="s">
        <v>591</v>
      </c>
      <c r="H70" s="15" t="s">
        <v>592</v>
      </c>
      <c r="I70" s="13" t="s">
        <v>593</v>
      </c>
      <c r="J70" s="13" t="s">
        <v>118</v>
      </c>
      <c r="K70" s="13" t="s">
        <v>594</v>
      </c>
      <c r="L70" s="8" t="s">
        <v>28</v>
      </c>
      <c r="M70" s="14" t="s">
        <v>35</v>
      </c>
      <c r="N70" s="8" t="s">
        <v>56</v>
      </c>
      <c r="O70" s="15" t="s">
        <v>573</v>
      </c>
      <c r="P70" s="15"/>
    </row>
    <row r="71" spans="1:16" ht="72.25" customHeight="1">
      <c r="A71" s="8">
        <v>70</v>
      </c>
      <c r="B71" s="12" t="s">
        <v>50</v>
      </c>
      <c r="C71" s="12" t="s">
        <v>574</v>
      </c>
      <c r="D71" s="10" t="s">
        <v>595</v>
      </c>
      <c r="E71" s="13" t="s">
        <v>596</v>
      </c>
      <c r="F71" s="14" t="s">
        <v>116</v>
      </c>
      <c r="G71" s="13" t="s">
        <v>597</v>
      </c>
      <c r="H71" s="15" t="s">
        <v>598</v>
      </c>
      <c r="I71" s="13" t="s">
        <v>599</v>
      </c>
      <c r="J71" s="13" t="s">
        <v>600</v>
      </c>
      <c r="K71" s="13" t="s">
        <v>601</v>
      </c>
      <c r="L71" s="8" t="s">
        <v>28</v>
      </c>
      <c r="M71" s="14" t="s">
        <v>35</v>
      </c>
      <c r="N71" s="8" t="s">
        <v>56</v>
      </c>
      <c r="O71" s="15" t="s">
        <v>573</v>
      </c>
      <c r="P71" s="15"/>
    </row>
    <row r="72" spans="1:16" ht="86.5" customHeight="1">
      <c r="A72" s="8">
        <v>71</v>
      </c>
      <c r="B72" s="12" t="s">
        <v>50</v>
      </c>
      <c r="C72" s="12" t="s">
        <v>574</v>
      </c>
      <c r="D72" s="10" t="s">
        <v>602</v>
      </c>
      <c r="E72" s="13" t="s">
        <v>603</v>
      </c>
      <c r="F72" s="14" t="s">
        <v>116</v>
      </c>
      <c r="G72" s="13" t="s">
        <v>604</v>
      </c>
      <c r="H72" s="15" t="s">
        <v>605</v>
      </c>
      <c r="I72" s="13" t="s">
        <v>606</v>
      </c>
      <c r="J72" s="13" t="s">
        <v>607</v>
      </c>
      <c r="K72" s="13" t="s">
        <v>608</v>
      </c>
      <c r="L72" s="8" t="s">
        <v>30</v>
      </c>
      <c r="M72" s="14" t="s">
        <v>35</v>
      </c>
      <c r="N72" s="8" t="s">
        <v>56</v>
      </c>
      <c r="O72" s="15" t="s">
        <v>573</v>
      </c>
      <c r="P72" s="15"/>
    </row>
    <row r="73" spans="1:16" ht="29.9" customHeight="1">
      <c r="A73" s="8">
        <v>72</v>
      </c>
      <c r="B73" s="12" t="s">
        <v>50</v>
      </c>
      <c r="C73" s="12" t="s">
        <v>574</v>
      </c>
      <c r="D73" s="10" t="s">
        <v>609</v>
      </c>
      <c r="E73" s="13" t="s">
        <v>610</v>
      </c>
      <c r="F73" s="14" t="s">
        <v>116</v>
      </c>
      <c r="G73" s="13" t="s">
        <v>611</v>
      </c>
      <c r="H73" s="15" t="s">
        <v>612</v>
      </c>
      <c r="I73" s="15" t="s">
        <v>579</v>
      </c>
      <c r="J73" s="15" t="s">
        <v>118</v>
      </c>
      <c r="K73" s="13" t="s">
        <v>613</v>
      </c>
      <c r="L73" s="8" t="s">
        <v>28</v>
      </c>
      <c r="M73" s="14" t="s">
        <v>35</v>
      </c>
      <c r="N73" s="8" t="s">
        <v>56</v>
      </c>
      <c r="O73" s="15" t="s">
        <v>573</v>
      </c>
      <c r="P73" s="15" t="s">
        <v>531</v>
      </c>
    </row>
    <row r="74" spans="1:16" ht="72.25" customHeight="1">
      <c r="A74" s="8">
        <v>73</v>
      </c>
      <c r="B74" s="12" t="s">
        <v>50</v>
      </c>
      <c r="C74" s="12" t="s">
        <v>574</v>
      </c>
      <c r="D74" s="10" t="s">
        <v>614</v>
      </c>
      <c r="E74" s="13" t="s">
        <v>615</v>
      </c>
      <c r="F74" s="14" t="s">
        <v>116</v>
      </c>
      <c r="G74" s="13" t="s">
        <v>616</v>
      </c>
      <c r="H74" s="15" t="s">
        <v>617</v>
      </c>
      <c r="I74" s="13" t="s">
        <v>618</v>
      </c>
      <c r="J74" s="13" t="s">
        <v>619</v>
      </c>
      <c r="K74" s="13" t="s">
        <v>620</v>
      </c>
      <c r="L74" s="8" t="s">
        <v>28</v>
      </c>
      <c r="M74" s="14" t="s">
        <v>35</v>
      </c>
      <c r="N74" s="8" t="s">
        <v>58</v>
      </c>
      <c r="O74" s="15" t="s">
        <v>621</v>
      </c>
      <c r="P74" s="15" t="s">
        <v>531</v>
      </c>
    </row>
    <row r="75" spans="1:16" ht="86.5" customHeight="1">
      <c r="A75" s="8">
        <v>74</v>
      </c>
      <c r="B75" s="12" t="s">
        <v>50</v>
      </c>
      <c r="C75" s="12" t="s">
        <v>574</v>
      </c>
      <c r="D75" s="10" t="s">
        <v>622</v>
      </c>
      <c r="E75" s="13" t="s">
        <v>623</v>
      </c>
      <c r="F75" s="14" t="s">
        <v>116</v>
      </c>
      <c r="G75" s="13" t="s">
        <v>624</v>
      </c>
      <c r="H75" s="15" t="s">
        <v>625</v>
      </c>
      <c r="I75" s="13" t="s">
        <v>626</v>
      </c>
      <c r="J75" s="13" t="s">
        <v>627</v>
      </c>
      <c r="K75" s="13" t="s">
        <v>628</v>
      </c>
      <c r="L75" s="8" t="s">
        <v>30</v>
      </c>
      <c r="M75" s="14" t="s">
        <v>35</v>
      </c>
      <c r="N75" s="8" t="s">
        <v>57</v>
      </c>
      <c r="O75" s="15" t="s">
        <v>629</v>
      </c>
      <c r="P75" s="15"/>
    </row>
    <row r="76" spans="1:16" ht="86.5" customHeight="1">
      <c r="A76" s="8">
        <v>75</v>
      </c>
      <c r="B76" s="12" t="s">
        <v>50</v>
      </c>
      <c r="C76" s="12" t="s">
        <v>574</v>
      </c>
      <c r="D76" s="10" t="s">
        <v>630</v>
      </c>
      <c r="E76" s="13" t="s">
        <v>631</v>
      </c>
      <c r="F76" s="14" t="s">
        <v>106</v>
      </c>
      <c r="G76" s="15" t="s">
        <v>632</v>
      </c>
      <c r="H76" s="15" t="s">
        <v>633</v>
      </c>
      <c r="I76" s="13" t="s">
        <v>634</v>
      </c>
      <c r="J76" s="13" t="s">
        <v>635</v>
      </c>
      <c r="K76" s="13" t="s">
        <v>636</v>
      </c>
      <c r="L76" s="8" t="s">
        <v>30</v>
      </c>
      <c r="M76" s="14" t="s">
        <v>35</v>
      </c>
      <c r="N76" s="8" t="s">
        <v>58</v>
      </c>
      <c r="O76" s="15" t="s">
        <v>637</v>
      </c>
      <c r="P76" s="15"/>
    </row>
    <row r="77" spans="1:16" ht="29.9" customHeight="1">
      <c r="A77" s="8">
        <v>76</v>
      </c>
      <c r="B77" s="12" t="s">
        <v>50</v>
      </c>
      <c r="C77" s="12" t="s">
        <v>574</v>
      </c>
      <c r="D77" s="10" t="s">
        <v>638</v>
      </c>
      <c r="E77" s="13" t="s">
        <v>639</v>
      </c>
      <c r="F77" s="14" t="s">
        <v>116</v>
      </c>
      <c r="G77" s="13" t="s">
        <v>640</v>
      </c>
      <c r="H77" s="15" t="s">
        <v>118</v>
      </c>
      <c r="I77" s="13" t="s">
        <v>118</v>
      </c>
      <c r="J77" s="15" t="s">
        <v>118</v>
      </c>
      <c r="K77" s="13" t="s">
        <v>641</v>
      </c>
      <c r="L77" s="8" t="s">
        <v>30</v>
      </c>
      <c r="M77" s="14" t="s">
        <v>35</v>
      </c>
      <c r="N77" s="8" t="s">
        <v>56</v>
      </c>
      <c r="O77" s="15" t="s">
        <v>573</v>
      </c>
      <c r="P77" s="15"/>
    </row>
    <row r="78" spans="1:16" ht="72.25" customHeight="1">
      <c r="A78" s="8">
        <v>77</v>
      </c>
      <c r="B78" s="12" t="s">
        <v>50</v>
      </c>
      <c r="C78" s="12" t="s">
        <v>642</v>
      </c>
      <c r="D78" s="10" t="s">
        <v>643</v>
      </c>
      <c r="E78" s="13" t="s">
        <v>644</v>
      </c>
      <c r="F78" s="14" t="s">
        <v>116</v>
      </c>
      <c r="G78" s="13" t="s">
        <v>645</v>
      </c>
      <c r="H78" s="15" t="s">
        <v>646</v>
      </c>
      <c r="I78" s="13" t="s">
        <v>647</v>
      </c>
      <c r="J78" s="13" t="s">
        <v>648</v>
      </c>
      <c r="K78" s="13" t="s">
        <v>649</v>
      </c>
      <c r="L78" s="8" t="s">
        <v>30</v>
      </c>
      <c r="M78" s="14" t="s">
        <v>35</v>
      </c>
      <c r="N78" s="8" t="s">
        <v>56</v>
      </c>
      <c r="O78" s="15" t="s">
        <v>650</v>
      </c>
      <c r="P78" s="15" t="s">
        <v>531</v>
      </c>
    </row>
    <row r="79" spans="1:16" ht="29.9" customHeight="1">
      <c r="A79" s="8">
        <v>78</v>
      </c>
      <c r="B79" s="12" t="s">
        <v>50</v>
      </c>
      <c r="C79" s="12" t="s">
        <v>642</v>
      </c>
      <c r="D79" s="10" t="s">
        <v>651</v>
      </c>
      <c r="E79" s="13" t="s">
        <v>652</v>
      </c>
      <c r="F79" s="14" t="s">
        <v>116</v>
      </c>
      <c r="G79" s="13" t="s">
        <v>653</v>
      </c>
      <c r="H79" s="15" t="s">
        <v>654</v>
      </c>
      <c r="I79" s="13" t="s">
        <v>655</v>
      </c>
      <c r="J79" s="15" t="s">
        <v>656</v>
      </c>
      <c r="K79" s="13" t="s">
        <v>657</v>
      </c>
      <c r="L79" s="8" t="s">
        <v>28</v>
      </c>
      <c r="M79" s="14" t="s">
        <v>35</v>
      </c>
      <c r="N79" s="8" t="s">
        <v>58</v>
      </c>
      <c r="O79" s="15" t="s">
        <v>658</v>
      </c>
      <c r="P79" s="13" t="s">
        <v>531</v>
      </c>
    </row>
    <row r="80" spans="1:16" ht="58.25" customHeight="1">
      <c r="A80" s="8">
        <v>79</v>
      </c>
      <c r="B80" s="12" t="s">
        <v>50</v>
      </c>
      <c r="C80" s="12" t="s">
        <v>642</v>
      </c>
      <c r="D80" s="10" t="s">
        <v>659</v>
      </c>
      <c r="E80" s="13" t="s">
        <v>660</v>
      </c>
      <c r="F80" s="14" t="s">
        <v>116</v>
      </c>
      <c r="G80" s="15" t="s">
        <v>661</v>
      </c>
      <c r="H80" s="15" t="s">
        <v>662</v>
      </c>
      <c r="I80" s="15" t="s">
        <v>663</v>
      </c>
      <c r="J80" s="15" t="s">
        <v>664</v>
      </c>
      <c r="K80" s="13" t="s">
        <v>665</v>
      </c>
      <c r="L80" s="8" t="s">
        <v>28</v>
      </c>
      <c r="M80" s="14" t="s">
        <v>35</v>
      </c>
      <c r="N80" s="14" t="s">
        <v>58</v>
      </c>
      <c r="O80" s="15" t="s">
        <v>666</v>
      </c>
      <c r="P80" s="13"/>
    </row>
    <row r="81" spans="1:16" ht="44" customHeight="1">
      <c r="A81" s="8">
        <v>80</v>
      </c>
      <c r="B81" s="12" t="s">
        <v>50</v>
      </c>
      <c r="C81" s="12" t="s">
        <v>642</v>
      </c>
      <c r="D81" s="10" t="s">
        <v>667</v>
      </c>
      <c r="E81" s="13" t="s">
        <v>668</v>
      </c>
      <c r="F81" s="14" t="s">
        <v>116</v>
      </c>
      <c r="G81" s="15" t="s">
        <v>669</v>
      </c>
      <c r="H81" s="15" t="s">
        <v>670</v>
      </c>
      <c r="I81" s="13" t="s">
        <v>655</v>
      </c>
      <c r="J81" s="13" t="s">
        <v>118</v>
      </c>
      <c r="K81" s="13" t="s">
        <v>671</v>
      </c>
      <c r="L81" s="8" t="s">
        <v>30</v>
      </c>
      <c r="M81" s="14" t="s">
        <v>35</v>
      </c>
      <c r="N81" s="8" t="s">
        <v>57</v>
      </c>
      <c r="O81" s="15" t="s">
        <v>672</v>
      </c>
      <c r="P81" s="15"/>
    </row>
    <row r="82" spans="1:16" ht="29.9" customHeight="1">
      <c r="A82" s="8">
        <v>81</v>
      </c>
      <c r="B82" s="12" t="s">
        <v>51</v>
      </c>
      <c r="C82" s="12" t="s">
        <v>673</v>
      </c>
      <c r="D82" s="10" t="s">
        <v>674</v>
      </c>
      <c r="E82" s="13" t="s">
        <v>675</v>
      </c>
      <c r="F82" s="14" t="s">
        <v>116</v>
      </c>
      <c r="G82" s="13" t="s">
        <v>676</v>
      </c>
      <c r="H82" s="15" t="s">
        <v>677</v>
      </c>
      <c r="I82" s="13" t="s">
        <v>678</v>
      </c>
      <c r="J82" s="13" t="s">
        <v>679</v>
      </c>
      <c r="K82" s="13" t="s">
        <v>680</v>
      </c>
      <c r="L82" s="8" t="s">
        <v>28</v>
      </c>
      <c r="M82" s="14" t="s">
        <v>35</v>
      </c>
      <c r="N82" s="8" t="s">
        <v>56</v>
      </c>
      <c r="O82" s="15" t="s">
        <v>681</v>
      </c>
      <c r="P82" s="15"/>
    </row>
    <row r="83" spans="1:16" ht="44" customHeight="1">
      <c r="A83" s="8">
        <v>82</v>
      </c>
      <c r="B83" s="12" t="s">
        <v>51</v>
      </c>
      <c r="C83" s="12" t="s">
        <v>673</v>
      </c>
      <c r="D83" s="10" t="s">
        <v>682</v>
      </c>
      <c r="E83" s="13" t="s">
        <v>683</v>
      </c>
      <c r="F83" s="14" t="s">
        <v>116</v>
      </c>
      <c r="G83" s="15" t="s">
        <v>684</v>
      </c>
      <c r="H83" s="15" t="s">
        <v>685</v>
      </c>
      <c r="I83" s="13" t="s">
        <v>686</v>
      </c>
      <c r="J83" s="13" t="s">
        <v>118</v>
      </c>
      <c r="K83" s="13" t="s">
        <v>687</v>
      </c>
      <c r="L83" s="8" t="s">
        <v>28</v>
      </c>
      <c r="M83" s="14" t="s">
        <v>35</v>
      </c>
      <c r="N83" s="8" t="s">
        <v>57</v>
      </c>
      <c r="O83" s="15" t="s">
        <v>688</v>
      </c>
      <c r="P83" s="15" t="s">
        <v>436</v>
      </c>
    </row>
    <row r="84" spans="1:16" ht="58.25" customHeight="1">
      <c r="A84" s="8">
        <v>83</v>
      </c>
      <c r="B84" s="12" t="s">
        <v>51</v>
      </c>
      <c r="C84" s="12" t="s">
        <v>673</v>
      </c>
      <c r="D84" s="10" t="s">
        <v>689</v>
      </c>
      <c r="E84" s="13" t="s">
        <v>690</v>
      </c>
      <c r="F84" s="14" t="s">
        <v>116</v>
      </c>
      <c r="G84" s="13" t="s">
        <v>691</v>
      </c>
      <c r="H84" s="15" t="s">
        <v>692</v>
      </c>
      <c r="I84" s="13" t="s">
        <v>118</v>
      </c>
      <c r="J84" s="13" t="s">
        <v>118</v>
      </c>
      <c r="K84" s="13" t="s">
        <v>693</v>
      </c>
      <c r="L84" s="8" t="s">
        <v>28</v>
      </c>
      <c r="M84" s="14" t="s">
        <v>37</v>
      </c>
      <c r="N84" s="8" t="s">
        <v>59</v>
      </c>
      <c r="O84" s="15" t="s">
        <v>694</v>
      </c>
      <c r="P84" s="15" t="s">
        <v>695</v>
      </c>
    </row>
    <row r="85" spans="1:16" ht="29.9" customHeight="1">
      <c r="A85" s="8">
        <v>84</v>
      </c>
      <c r="B85" s="12" t="s">
        <v>51</v>
      </c>
      <c r="C85" s="12" t="s">
        <v>696</v>
      </c>
      <c r="D85" s="10" t="s">
        <v>697</v>
      </c>
      <c r="E85" s="13" t="s">
        <v>698</v>
      </c>
      <c r="F85" s="14" t="s">
        <v>116</v>
      </c>
      <c r="G85" s="13" t="s">
        <v>699</v>
      </c>
      <c r="H85" s="15" t="s">
        <v>700</v>
      </c>
      <c r="I85" s="15" t="s">
        <v>701</v>
      </c>
      <c r="J85" s="13" t="s">
        <v>702</v>
      </c>
      <c r="K85" s="13" t="s">
        <v>703</v>
      </c>
      <c r="L85" s="8" t="s">
        <v>28</v>
      </c>
      <c r="M85" s="14" t="s">
        <v>35</v>
      </c>
      <c r="N85" s="8" t="s">
        <v>58</v>
      </c>
      <c r="O85" s="15" t="s">
        <v>688</v>
      </c>
      <c r="P85" s="15"/>
    </row>
    <row r="86" spans="1:16" ht="29.9" customHeight="1">
      <c r="A86" s="8">
        <v>85</v>
      </c>
      <c r="B86" s="12" t="s">
        <v>51</v>
      </c>
      <c r="C86" s="12" t="s">
        <v>696</v>
      </c>
      <c r="D86" s="10" t="s">
        <v>704</v>
      </c>
      <c r="E86" s="13" t="s">
        <v>705</v>
      </c>
      <c r="F86" s="14" t="s">
        <v>116</v>
      </c>
      <c r="G86" s="13" t="s">
        <v>706</v>
      </c>
      <c r="H86" s="15" t="s">
        <v>707</v>
      </c>
      <c r="I86" s="13" t="s">
        <v>701</v>
      </c>
      <c r="J86" s="13" t="s">
        <v>708</v>
      </c>
      <c r="K86" s="13" t="s">
        <v>709</v>
      </c>
      <c r="L86" s="8" t="s">
        <v>30</v>
      </c>
      <c r="M86" s="14" t="s">
        <v>35</v>
      </c>
      <c r="N86" s="8" t="s">
        <v>56</v>
      </c>
      <c r="O86" s="15" t="s">
        <v>688</v>
      </c>
      <c r="P86" s="15"/>
    </row>
    <row r="87" spans="1:16" ht="44" customHeight="1">
      <c r="A87" s="8">
        <v>86</v>
      </c>
      <c r="B87" s="12" t="s">
        <v>51</v>
      </c>
      <c r="C87" s="12" t="s">
        <v>696</v>
      </c>
      <c r="D87" s="10" t="s">
        <v>710</v>
      </c>
      <c r="E87" s="13" t="s">
        <v>711</v>
      </c>
      <c r="F87" s="14" t="s">
        <v>106</v>
      </c>
      <c r="G87" s="13" t="s">
        <v>712</v>
      </c>
      <c r="H87" s="15" t="s">
        <v>713</v>
      </c>
      <c r="I87" s="13" t="s">
        <v>714</v>
      </c>
      <c r="J87" s="13" t="s">
        <v>715</v>
      </c>
      <c r="K87" s="13" t="s">
        <v>716</v>
      </c>
      <c r="L87" s="8" t="s">
        <v>28</v>
      </c>
      <c r="M87" s="14" t="s">
        <v>35</v>
      </c>
      <c r="N87" s="8" t="s">
        <v>56</v>
      </c>
      <c r="O87" s="15" t="s">
        <v>688</v>
      </c>
      <c r="P87" s="15"/>
    </row>
    <row r="88" spans="1:16" ht="29.9" customHeight="1">
      <c r="A88" s="8">
        <v>87</v>
      </c>
      <c r="B88" s="12" t="s">
        <v>51</v>
      </c>
      <c r="C88" s="12" t="s">
        <v>696</v>
      </c>
      <c r="D88" s="10" t="s">
        <v>717</v>
      </c>
      <c r="E88" s="13" t="s">
        <v>718</v>
      </c>
      <c r="F88" s="14" t="s">
        <v>106</v>
      </c>
      <c r="G88" s="13" t="s">
        <v>719</v>
      </c>
      <c r="H88" s="15" t="s">
        <v>720</v>
      </c>
      <c r="I88" s="13" t="s">
        <v>721</v>
      </c>
      <c r="J88" s="13" t="s">
        <v>722</v>
      </c>
      <c r="K88" s="13" t="s">
        <v>723</v>
      </c>
      <c r="L88" s="8" t="s">
        <v>30</v>
      </c>
      <c r="M88" s="14" t="s">
        <v>35</v>
      </c>
      <c r="N88" s="8" t="s">
        <v>56</v>
      </c>
      <c r="O88" s="15" t="s">
        <v>724</v>
      </c>
      <c r="P88" s="15"/>
    </row>
    <row r="89" spans="1:16" ht="44" customHeight="1">
      <c r="A89" s="8">
        <v>88</v>
      </c>
      <c r="B89" s="12" t="s">
        <v>51</v>
      </c>
      <c r="C89" s="12" t="s">
        <v>696</v>
      </c>
      <c r="D89" s="10" t="s">
        <v>725</v>
      </c>
      <c r="E89" s="13" t="s">
        <v>726</v>
      </c>
      <c r="F89" s="14" t="s">
        <v>116</v>
      </c>
      <c r="G89" s="13" t="s">
        <v>727</v>
      </c>
      <c r="H89" s="15" t="s">
        <v>728</v>
      </c>
      <c r="I89" s="13" t="s">
        <v>118</v>
      </c>
      <c r="J89" s="13" t="s">
        <v>729</v>
      </c>
      <c r="K89" s="13" t="s">
        <v>730</v>
      </c>
      <c r="L89" s="8" t="s">
        <v>28</v>
      </c>
      <c r="M89" s="14" t="s">
        <v>35</v>
      </c>
      <c r="N89" s="8" t="s">
        <v>57</v>
      </c>
      <c r="O89" s="15" t="s">
        <v>694</v>
      </c>
      <c r="P89" s="15"/>
    </row>
    <row r="90" spans="1:16" ht="58.25" customHeight="1">
      <c r="A90" s="8">
        <v>89</v>
      </c>
      <c r="B90" s="12" t="s">
        <v>51</v>
      </c>
      <c r="C90" s="12" t="s">
        <v>696</v>
      </c>
      <c r="D90" s="10" t="s">
        <v>731</v>
      </c>
      <c r="E90" s="13" t="s">
        <v>732</v>
      </c>
      <c r="F90" s="14" t="s">
        <v>116</v>
      </c>
      <c r="G90" s="13" t="s">
        <v>733</v>
      </c>
      <c r="H90" s="15" t="s">
        <v>734</v>
      </c>
      <c r="I90" s="13" t="s">
        <v>735</v>
      </c>
      <c r="J90" s="15" t="s">
        <v>736</v>
      </c>
      <c r="K90" s="13" t="s">
        <v>737</v>
      </c>
      <c r="L90" s="8" t="s">
        <v>28</v>
      </c>
      <c r="M90" s="14" t="s">
        <v>35</v>
      </c>
      <c r="N90" s="8" t="s">
        <v>57</v>
      </c>
      <c r="O90" s="15" t="s">
        <v>738</v>
      </c>
      <c r="P90" s="15"/>
    </row>
    <row r="91" spans="1:16" ht="29.9" customHeight="1">
      <c r="A91" s="8">
        <v>90</v>
      </c>
      <c r="B91" s="12" t="s">
        <v>52</v>
      </c>
      <c r="C91" s="12" t="s">
        <v>739</v>
      </c>
      <c r="D91" s="10" t="s">
        <v>740</v>
      </c>
      <c r="E91" s="13" t="s">
        <v>741</v>
      </c>
      <c r="F91" s="14" t="s">
        <v>116</v>
      </c>
      <c r="G91" s="13" t="s">
        <v>742</v>
      </c>
      <c r="H91" s="15" t="s">
        <v>743</v>
      </c>
      <c r="I91" s="13" t="s">
        <v>241</v>
      </c>
      <c r="J91" s="13" t="s">
        <v>744</v>
      </c>
      <c r="K91" s="13" t="s">
        <v>745</v>
      </c>
      <c r="L91" s="8" t="s">
        <v>28</v>
      </c>
      <c r="M91" s="14" t="s">
        <v>35</v>
      </c>
      <c r="N91" s="8" t="s">
        <v>57</v>
      </c>
      <c r="O91" s="15" t="s">
        <v>746</v>
      </c>
      <c r="P91" s="15" t="s">
        <v>747</v>
      </c>
    </row>
    <row r="92" spans="1:16" ht="58.25" customHeight="1">
      <c r="A92" s="8">
        <v>91</v>
      </c>
      <c r="B92" s="12" t="s">
        <v>52</v>
      </c>
      <c r="C92" s="12" t="s">
        <v>739</v>
      </c>
      <c r="D92" s="10" t="s">
        <v>748</v>
      </c>
      <c r="E92" s="13" t="s">
        <v>749</v>
      </c>
      <c r="F92" s="14" t="s">
        <v>116</v>
      </c>
      <c r="G92" s="13" t="s">
        <v>750</v>
      </c>
      <c r="H92" s="15" t="s">
        <v>751</v>
      </c>
      <c r="I92" s="13" t="s">
        <v>752</v>
      </c>
      <c r="J92" s="15" t="s">
        <v>753</v>
      </c>
      <c r="K92" s="13" t="s">
        <v>754</v>
      </c>
      <c r="L92" s="8" t="s">
        <v>28</v>
      </c>
      <c r="M92" s="14" t="s">
        <v>35</v>
      </c>
      <c r="N92" s="8" t="s">
        <v>57</v>
      </c>
      <c r="O92" s="15" t="s">
        <v>755</v>
      </c>
      <c r="P92" s="15"/>
    </row>
    <row r="93" spans="1:16" ht="44" customHeight="1">
      <c r="A93" s="8">
        <v>92</v>
      </c>
      <c r="B93" s="12" t="s">
        <v>52</v>
      </c>
      <c r="C93" s="12" t="s">
        <v>739</v>
      </c>
      <c r="D93" s="10" t="s">
        <v>756</v>
      </c>
      <c r="E93" s="13" t="s">
        <v>757</v>
      </c>
      <c r="F93" s="14" t="s">
        <v>116</v>
      </c>
      <c r="G93" s="13" t="s">
        <v>758</v>
      </c>
      <c r="H93" s="15" t="s">
        <v>759</v>
      </c>
      <c r="I93" s="13" t="s">
        <v>760</v>
      </c>
      <c r="J93" s="15" t="s">
        <v>761</v>
      </c>
      <c r="K93" s="13" t="s">
        <v>762</v>
      </c>
      <c r="L93" s="8" t="s">
        <v>28</v>
      </c>
      <c r="M93" s="14" t="s">
        <v>35</v>
      </c>
      <c r="N93" s="8" t="s">
        <v>57</v>
      </c>
      <c r="O93" s="15" t="s">
        <v>763</v>
      </c>
      <c r="P93" s="15"/>
    </row>
    <row r="94" spans="1:16" ht="72.25" customHeight="1">
      <c r="A94" s="8">
        <v>93</v>
      </c>
      <c r="B94" s="12" t="s">
        <v>52</v>
      </c>
      <c r="C94" s="12" t="s">
        <v>739</v>
      </c>
      <c r="D94" s="10" t="s">
        <v>764</v>
      </c>
      <c r="E94" s="13" t="s">
        <v>765</v>
      </c>
      <c r="F94" s="14" t="s">
        <v>116</v>
      </c>
      <c r="G94" s="13" t="s">
        <v>766</v>
      </c>
      <c r="H94" s="15" t="s">
        <v>767</v>
      </c>
      <c r="I94" s="13" t="s">
        <v>752</v>
      </c>
      <c r="J94" s="13" t="s">
        <v>118</v>
      </c>
      <c r="K94" s="13" t="s">
        <v>768</v>
      </c>
      <c r="L94" s="8" t="s">
        <v>28</v>
      </c>
      <c r="M94" s="14" t="s">
        <v>35</v>
      </c>
      <c r="N94" s="8" t="s">
        <v>56</v>
      </c>
      <c r="O94" s="15" t="s">
        <v>755</v>
      </c>
      <c r="P94" s="15"/>
    </row>
    <row r="95" spans="1:16" ht="29.9" customHeight="1">
      <c r="A95" s="8">
        <v>94</v>
      </c>
      <c r="B95" s="12" t="s">
        <v>52</v>
      </c>
      <c r="C95" s="12" t="s">
        <v>739</v>
      </c>
      <c r="D95" s="10" t="s">
        <v>769</v>
      </c>
      <c r="E95" s="13" t="s">
        <v>770</v>
      </c>
      <c r="F95" s="14" t="s">
        <v>106</v>
      </c>
      <c r="G95" s="13" t="s">
        <v>771</v>
      </c>
      <c r="H95" s="15" t="s">
        <v>772</v>
      </c>
      <c r="I95" s="13" t="s">
        <v>773</v>
      </c>
      <c r="J95" s="13" t="s">
        <v>774</v>
      </c>
      <c r="K95" s="13" t="s">
        <v>775</v>
      </c>
      <c r="L95" s="8" t="s">
        <v>28</v>
      </c>
      <c r="M95" s="14" t="s">
        <v>35</v>
      </c>
      <c r="N95" s="8" t="s">
        <v>56</v>
      </c>
      <c r="O95" s="15" t="s">
        <v>763</v>
      </c>
      <c r="P95" s="15"/>
    </row>
    <row r="96" spans="1:16" ht="58.25" customHeight="1">
      <c r="A96" s="8">
        <v>95</v>
      </c>
      <c r="B96" s="12" t="s">
        <v>52</v>
      </c>
      <c r="C96" s="12" t="s">
        <v>739</v>
      </c>
      <c r="D96" s="10" t="s">
        <v>776</v>
      </c>
      <c r="E96" s="13" t="s">
        <v>774</v>
      </c>
      <c r="F96" s="14" t="s">
        <v>116</v>
      </c>
      <c r="G96" s="13" t="s">
        <v>777</v>
      </c>
      <c r="H96" s="15" t="s">
        <v>118</v>
      </c>
      <c r="I96" s="13" t="s">
        <v>778</v>
      </c>
      <c r="J96" s="13" t="s">
        <v>118</v>
      </c>
      <c r="K96" s="13" t="s">
        <v>779</v>
      </c>
      <c r="L96" s="8" t="s">
        <v>28</v>
      </c>
      <c r="M96" s="14" t="s">
        <v>35</v>
      </c>
      <c r="N96" s="8" t="s">
        <v>56</v>
      </c>
      <c r="O96" s="15" t="s">
        <v>780</v>
      </c>
      <c r="P96" s="15"/>
    </row>
    <row r="97" spans="1:16" ht="72.25" customHeight="1">
      <c r="A97" s="8">
        <v>96</v>
      </c>
      <c r="B97" s="12" t="s">
        <v>52</v>
      </c>
      <c r="C97" s="12" t="s">
        <v>781</v>
      </c>
      <c r="D97" s="10" t="s">
        <v>782</v>
      </c>
      <c r="E97" s="13" t="s">
        <v>783</v>
      </c>
      <c r="F97" s="14" t="s">
        <v>116</v>
      </c>
      <c r="G97" s="13" t="s">
        <v>784</v>
      </c>
      <c r="H97" s="15" t="s">
        <v>785</v>
      </c>
      <c r="I97" s="13" t="s">
        <v>663</v>
      </c>
      <c r="J97" s="13" t="s">
        <v>786</v>
      </c>
      <c r="K97" s="13" t="s">
        <v>787</v>
      </c>
      <c r="L97" s="8" t="s">
        <v>28</v>
      </c>
      <c r="M97" s="14" t="s">
        <v>35</v>
      </c>
      <c r="N97" s="8" t="s">
        <v>58</v>
      </c>
      <c r="O97" s="15" t="s">
        <v>788</v>
      </c>
      <c r="P97" s="15"/>
    </row>
    <row r="98" spans="1:16" ht="58.25" customHeight="1">
      <c r="A98" s="8">
        <v>97</v>
      </c>
      <c r="B98" s="12" t="s">
        <v>52</v>
      </c>
      <c r="C98" s="12" t="s">
        <v>781</v>
      </c>
      <c r="D98" s="10" t="s">
        <v>789</v>
      </c>
      <c r="E98" s="13" t="s">
        <v>790</v>
      </c>
      <c r="F98" s="14" t="s">
        <v>106</v>
      </c>
      <c r="G98" s="13" t="s">
        <v>791</v>
      </c>
      <c r="H98" s="15" t="s">
        <v>792</v>
      </c>
      <c r="I98" s="13" t="s">
        <v>793</v>
      </c>
      <c r="J98" s="13" t="s">
        <v>794</v>
      </c>
      <c r="K98" s="13" t="s">
        <v>795</v>
      </c>
      <c r="L98" s="8" t="s">
        <v>28</v>
      </c>
      <c r="M98" s="14" t="s">
        <v>35</v>
      </c>
      <c r="N98" s="8" t="s">
        <v>58</v>
      </c>
      <c r="O98" s="15" t="s">
        <v>796</v>
      </c>
      <c r="P98" s="15"/>
    </row>
    <row r="99" spans="1:16" ht="44" customHeight="1">
      <c r="A99" s="8">
        <v>98</v>
      </c>
      <c r="B99" s="12" t="s">
        <v>52</v>
      </c>
      <c r="C99" s="12" t="s">
        <v>781</v>
      </c>
      <c r="D99" s="10" t="s">
        <v>797</v>
      </c>
      <c r="E99" s="13" t="s">
        <v>798</v>
      </c>
      <c r="F99" s="14" t="s">
        <v>116</v>
      </c>
      <c r="G99" s="13" t="s">
        <v>799</v>
      </c>
      <c r="H99" s="15" t="s">
        <v>800</v>
      </c>
      <c r="I99" s="13" t="s">
        <v>801</v>
      </c>
      <c r="J99" s="13" t="s">
        <v>802</v>
      </c>
      <c r="K99" s="13" t="s">
        <v>803</v>
      </c>
      <c r="L99" s="8" t="s">
        <v>28</v>
      </c>
      <c r="M99" s="14" t="s">
        <v>35</v>
      </c>
      <c r="N99" s="8" t="s">
        <v>58</v>
      </c>
      <c r="O99" s="15" t="s">
        <v>788</v>
      </c>
      <c r="P99" s="13"/>
    </row>
    <row r="100" spans="1:16" ht="29.9" customHeight="1">
      <c r="A100" s="8">
        <v>99</v>
      </c>
      <c r="B100" s="12" t="s">
        <v>52</v>
      </c>
      <c r="C100" s="12" t="s">
        <v>804</v>
      </c>
      <c r="D100" s="10" t="s">
        <v>805</v>
      </c>
      <c r="E100" s="13" t="s">
        <v>806</v>
      </c>
      <c r="F100" s="14" t="s">
        <v>106</v>
      </c>
      <c r="G100" s="13" t="s">
        <v>807</v>
      </c>
      <c r="H100" s="15" t="s">
        <v>808</v>
      </c>
      <c r="I100" s="13" t="s">
        <v>752</v>
      </c>
      <c r="J100" s="13" t="s">
        <v>809</v>
      </c>
      <c r="K100" s="13" t="s">
        <v>810</v>
      </c>
      <c r="L100" s="8" t="s">
        <v>28</v>
      </c>
      <c r="M100" s="14" t="s">
        <v>35</v>
      </c>
      <c r="N100" s="8" t="s">
        <v>58</v>
      </c>
      <c r="O100" s="15" t="s">
        <v>811</v>
      </c>
      <c r="P100" s="15" t="s">
        <v>812</v>
      </c>
    </row>
    <row r="101" spans="1:16" ht="29.9" customHeight="1">
      <c r="A101" s="8">
        <v>100</v>
      </c>
      <c r="B101" s="12" t="s">
        <v>52</v>
      </c>
      <c r="C101" s="12" t="s">
        <v>804</v>
      </c>
      <c r="D101" s="10" t="s">
        <v>813</v>
      </c>
      <c r="E101" s="13" t="s">
        <v>814</v>
      </c>
      <c r="F101" s="14" t="s">
        <v>106</v>
      </c>
      <c r="G101" s="13" t="s">
        <v>815</v>
      </c>
      <c r="H101" s="15" t="s">
        <v>816</v>
      </c>
      <c r="I101" s="13" t="s">
        <v>817</v>
      </c>
      <c r="J101" s="13" t="s">
        <v>818</v>
      </c>
      <c r="K101" s="13" t="s">
        <v>819</v>
      </c>
      <c r="L101" s="8" t="s">
        <v>28</v>
      </c>
      <c r="M101" s="14" t="s">
        <v>35</v>
      </c>
      <c r="N101" s="8" t="s">
        <v>58</v>
      </c>
      <c r="O101" s="15" t="s">
        <v>820</v>
      </c>
      <c r="P101" s="13"/>
    </row>
    <row r="102" spans="1:16" ht="29.9" customHeight="1">
      <c r="A102" s="8">
        <v>101</v>
      </c>
      <c r="B102" s="12" t="s">
        <v>52</v>
      </c>
      <c r="C102" s="12" t="s">
        <v>804</v>
      </c>
      <c r="D102" s="10" t="s">
        <v>821</v>
      </c>
      <c r="E102" s="13" t="s">
        <v>822</v>
      </c>
      <c r="F102" s="14" t="s">
        <v>116</v>
      </c>
      <c r="G102" s="13" t="s">
        <v>823</v>
      </c>
      <c r="H102" s="15" t="s">
        <v>824</v>
      </c>
      <c r="I102" s="15" t="s">
        <v>825</v>
      </c>
      <c r="J102" s="15" t="s">
        <v>826</v>
      </c>
      <c r="K102" s="13" t="s">
        <v>827</v>
      </c>
      <c r="L102" s="8" t="s">
        <v>28</v>
      </c>
      <c r="M102" s="14" t="s">
        <v>35</v>
      </c>
      <c r="N102" s="14" t="s">
        <v>58</v>
      </c>
      <c r="O102" s="15" t="s">
        <v>828</v>
      </c>
      <c r="P102" s="13"/>
    </row>
    <row r="103" spans="1:16" ht="29.9" customHeight="1">
      <c r="A103" s="8">
        <v>102</v>
      </c>
      <c r="B103" s="12" t="s">
        <v>52</v>
      </c>
      <c r="C103" s="12" t="s">
        <v>804</v>
      </c>
      <c r="D103" s="10" t="s">
        <v>829</v>
      </c>
      <c r="E103" s="13" t="s">
        <v>830</v>
      </c>
      <c r="F103" s="14" t="s">
        <v>106</v>
      </c>
      <c r="G103" s="13" t="s">
        <v>831</v>
      </c>
      <c r="H103" s="15" t="s">
        <v>832</v>
      </c>
      <c r="I103" s="13" t="s">
        <v>833</v>
      </c>
      <c r="J103" s="15" t="s">
        <v>774</v>
      </c>
      <c r="K103" s="13" t="s">
        <v>834</v>
      </c>
      <c r="L103" s="8" t="s">
        <v>30</v>
      </c>
      <c r="M103" s="14" t="s">
        <v>35</v>
      </c>
      <c r="N103" s="8" t="s">
        <v>58</v>
      </c>
      <c r="O103" s="15" t="s">
        <v>835</v>
      </c>
      <c r="P103" s="13" t="s">
        <v>836</v>
      </c>
    </row>
    <row r="104" spans="1:16" ht="15" customHeight="1">
      <c r="A104" s="8">
        <v>103</v>
      </c>
      <c r="B104" s="12" t="s">
        <v>52</v>
      </c>
      <c r="C104" s="12" t="s">
        <v>804</v>
      </c>
      <c r="D104" s="10" t="s">
        <v>837</v>
      </c>
      <c r="E104" s="13" t="s">
        <v>838</v>
      </c>
      <c r="F104" s="14" t="s">
        <v>106</v>
      </c>
      <c r="G104" s="13" t="s">
        <v>839</v>
      </c>
      <c r="H104" s="15" t="s">
        <v>840</v>
      </c>
      <c r="I104" s="15" t="s">
        <v>752</v>
      </c>
      <c r="J104" s="15" t="s">
        <v>744</v>
      </c>
      <c r="K104" s="13" t="s">
        <v>841</v>
      </c>
      <c r="L104" s="8" t="s">
        <v>30</v>
      </c>
      <c r="M104" s="14" t="s">
        <v>35</v>
      </c>
      <c r="N104" s="8" t="s">
        <v>56</v>
      </c>
      <c r="O104" s="15" t="s">
        <v>746</v>
      </c>
      <c r="P104" s="15" t="s">
        <v>842</v>
      </c>
    </row>
    <row r="105" spans="1:16" ht="72.25" customHeight="1">
      <c r="A105" s="8">
        <v>104</v>
      </c>
      <c r="B105" s="12" t="s">
        <v>52</v>
      </c>
      <c r="C105" s="12" t="s">
        <v>804</v>
      </c>
      <c r="D105" s="10" t="s">
        <v>843</v>
      </c>
      <c r="E105" s="13" t="s">
        <v>844</v>
      </c>
      <c r="F105" s="14" t="s">
        <v>106</v>
      </c>
      <c r="G105" s="13" t="s">
        <v>845</v>
      </c>
      <c r="H105" s="15" t="s">
        <v>846</v>
      </c>
      <c r="I105" s="13" t="s">
        <v>847</v>
      </c>
      <c r="J105" s="13" t="s">
        <v>848</v>
      </c>
      <c r="K105" s="13" t="s">
        <v>849</v>
      </c>
      <c r="L105" s="8" t="s">
        <v>32</v>
      </c>
      <c r="M105" s="14" t="s">
        <v>35</v>
      </c>
      <c r="N105" s="8" t="s">
        <v>57</v>
      </c>
      <c r="O105" s="15" t="s">
        <v>850</v>
      </c>
      <c r="P105" s="15" t="s">
        <v>851</v>
      </c>
    </row>
    <row r="106" spans="1:16" ht="29.9" customHeight="1">
      <c r="A106" s="8">
        <v>105</v>
      </c>
      <c r="B106" s="12" t="s">
        <v>52</v>
      </c>
      <c r="C106" s="12" t="s">
        <v>852</v>
      </c>
      <c r="D106" s="10" t="s">
        <v>853</v>
      </c>
      <c r="E106" s="13" t="s">
        <v>854</v>
      </c>
      <c r="F106" s="14" t="s">
        <v>116</v>
      </c>
      <c r="G106" s="13" t="s">
        <v>855</v>
      </c>
      <c r="H106" s="15" t="s">
        <v>118</v>
      </c>
      <c r="I106" s="13" t="s">
        <v>118</v>
      </c>
      <c r="J106" s="15" t="s">
        <v>118</v>
      </c>
      <c r="K106" s="13" t="s">
        <v>856</v>
      </c>
      <c r="L106" s="8" t="s">
        <v>32</v>
      </c>
      <c r="M106" s="14" t="s">
        <v>37</v>
      </c>
      <c r="N106" s="8" t="s">
        <v>60</v>
      </c>
      <c r="O106" s="15" t="s">
        <v>118</v>
      </c>
      <c r="P106" s="13" t="s">
        <v>851</v>
      </c>
    </row>
    <row r="107" spans="1:16">
      <c r="A107">
        <v>106</v>
      </c>
      <c r="B107" t="s">
        <v>53</v>
      </c>
      <c r="C107" t="s">
        <v>857</v>
      </c>
      <c r="D107" t="s">
        <v>858</v>
      </c>
      <c r="E107" t="s">
        <v>859</v>
      </c>
      <c r="F107" t="s">
        <v>116</v>
      </c>
      <c r="G107" t="s">
        <v>860</v>
      </c>
      <c r="H107" t="s">
        <v>861</v>
      </c>
      <c r="I107" t="s">
        <v>241</v>
      </c>
      <c r="J107" t="s">
        <v>118</v>
      </c>
      <c r="K107" t="s">
        <v>862</v>
      </c>
      <c r="L107" t="s">
        <v>28</v>
      </c>
      <c r="M107" t="s">
        <v>35</v>
      </c>
      <c r="N107" t="s">
        <v>56</v>
      </c>
      <c r="O107" t="s">
        <v>209</v>
      </c>
      <c r="P107" t="s">
        <v>863</v>
      </c>
    </row>
    <row r="108" spans="1:16">
      <c r="A108">
        <v>107</v>
      </c>
      <c r="B108" t="s">
        <v>53</v>
      </c>
      <c r="C108" t="s">
        <v>857</v>
      </c>
      <c r="D108" t="s">
        <v>864</v>
      </c>
      <c r="E108" t="s">
        <v>865</v>
      </c>
      <c r="F108" t="s">
        <v>106</v>
      </c>
      <c r="G108" t="s">
        <v>866</v>
      </c>
      <c r="H108" t="s">
        <v>118</v>
      </c>
      <c r="I108" t="s">
        <v>118</v>
      </c>
      <c r="J108" t="s">
        <v>118</v>
      </c>
      <c r="K108" t="s">
        <v>867</v>
      </c>
      <c r="L108" t="s">
        <v>30</v>
      </c>
      <c r="M108" t="s">
        <v>35</v>
      </c>
      <c r="N108" t="s">
        <v>56</v>
      </c>
      <c r="O108" t="s">
        <v>209</v>
      </c>
    </row>
    <row r="109" spans="1:16">
      <c r="A109">
        <v>108</v>
      </c>
      <c r="B109" t="s">
        <v>53</v>
      </c>
      <c r="C109" t="s">
        <v>868</v>
      </c>
      <c r="D109" t="s">
        <v>869</v>
      </c>
      <c r="E109" t="s">
        <v>870</v>
      </c>
      <c r="F109" t="s">
        <v>106</v>
      </c>
      <c r="G109" t="s">
        <v>871</v>
      </c>
      <c r="H109" t="s">
        <v>872</v>
      </c>
      <c r="I109" t="s">
        <v>873</v>
      </c>
      <c r="J109" t="s">
        <v>874</v>
      </c>
      <c r="K109" t="s">
        <v>875</v>
      </c>
      <c r="L109" t="s">
        <v>30</v>
      </c>
      <c r="M109" t="s">
        <v>35</v>
      </c>
      <c r="N109" t="s">
        <v>58</v>
      </c>
      <c r="O109" t="s">
        <v>876</v>
      </c>
    </row>
    <row r="110" spans="1:16">
      <c r="A110">
        <v>109</v>
      </c>
      <c r="B110" t="s">
        <v>53</v>
      </c>
      <c r="C110" t="s">
        <v>868</v>
      </c>
      <c r="D110" t="s">
        <v>877</v>
      </c>
      <c r="E110" t="s">
        <v>878</v>
      </c>
      <c r="F110" t="s">
        <v>116</v>
      </c>
      <c r="G110" t="s">
        <v>879</v>
      </c>
      <c r="H110" t="s">
        <v>880</v>
      </c>
      <c r="I110" t="s">
        <v>881</v>
      </c>
      <c r="J110" t="s">
        <v>118</v>
      </c>
      <c r="K110" t="s">
        <v>882</v>
      </c>
      <c r="L110" t="s">
        <v>32</v>
      </c>
      <c r="M110" t="s">
        <v>35</v>
      </c>
      <c r="N110" t="s">
        <v>57</v>
      </c>
      <c r="O110" t="s">
        <v>876</v>
      </c>
      <c r="P110" t="s">
        <v>851</v>
      </c>
    </row>
  </sheetData>
  <phoneticPr fontId="16" type="noConversion"/>
  <conditionalFormatting sqref="L2:L106">
    <cfRule type="cellIs" dxfId="4" priority="2" operator="equal">
      <formula>"P0"</formula>
    </cfRule>
    <cfRule type="cellIs" dxfId="3" priority="3" operator="equal">
      <formula>"P1"</formula>
    </cfRule>
    <cfRule type="cellIs" dxfId="2" priority="4" operator="equal">
      <formula>"P2"</formula>
    </cfRule>
  </conditionalFormatting>
  <conditionalFormatting sqref="M2:M106">
    <cfRule type="cellIs" dxfId="1" priority="5" operator="equal">
      <formula>"개발"</formula>
    </cfRule>
    <cfRule type="cellIs" dxfId="0" priority="6" operator="equal">
      <formula>"비개발"</formula>
    </cfRule>
  </conditionalFormatting>
  <dataValidations count="4">
    <dataValidation type="list" sqref="F2:F106" xr:uid="{00000000-0002-0000-0100-000000000000}">
      <formula1>"사용자,시스템"</formula1>
      <formula2>0</formula2>
    </dataValidation>
    <dataValidation type="list" sqref="L2:L106" xr:uid="{00000000-0002-0000-0100-000001000000}">
      <formula1>"P0,P1,P2"</formula1>
      <formula2>0</formula2>
    </dataValidation>
    <dataValidation type="list" sqref="M2:M106" xr:uid="{00000000-0002-0000-0100-000002000000}">
      <formula1>"개발,비개발"</formula1>
      <formula2>0</formula2>
    </dataValidation>
    <dataValidation type="list" sqref="N2:N106" xr:uid="{00000000-0002-0000-0100-000003000000}">
      <formula1>"FE,BE,FE·BE,데이터,콘텐츠,디자인,운영"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workbookViewId="0"/>
  </sheetViews>
  <sheetFormatPr defaultColWidth="8.6328125" defaultRowHeight="14.5"/>
  <cols>
    <col min="1" max="1" width="13" customWidth="1"/>
    <col min="2" max="2" width="26" customWidth="1"/>
    <col min="3" max="3" width="70" customWidth="1"/>
    <col min="4" max="4" width="26" customWidth="1"/>
  </cols>
  <sheetData>
    <row r="1" spans="1:4" ht="21.65" customHeight="1">
      <c r="A1" s="1" t="s">
        <v>883</v>
      </c>
    </row>
    <row r="3" spans="1:4" ht="15" customHeight="1">
      <c r="A3" s="6" t="s">
        <v>884</v>
      </c>
      <c r="B3" s="5" t="s">
        <v>885</v>
      </c>
      <c r="C3" s="5" t="s">
        <v>886</v>
      </c>
      <c r="D3" s="5" t="s">
        <v>887</v>
      </c>
    </row>
    <row r="4" spans="1:4" ht="15" customHeight="1">
      <c r="A4" s="16" t="s">
        <v>888</v>
      </c>
      <c r="B4" s="13" t="s">
        <v>889</v>
      </c>
      <c r="C4" s="13" t="s">
        <v>890</v>
      </c>
      <c r="D4" s="15" t="s">
        <v>891</v>
      </c>
    </row>
    <row r="5" spans="1:4" ht="15" customHeight="1">
      <c r="A5" s="16" t="s">
        <v>892</v>
      </c>
      <c r="B5" s="13" t="s">
        <v>893</v>
      </c>
      <c r="C5" s="13" t="s">
        <v>894</v>
      </c>
      <c r="D5" s="15" t="s">
        <v>895</v>
      </c>
    </row>
    <row r="6" spans="1:4" ht="15" customHeight="1">
      <c r="A6" s="16" t="s">
        <v>896</v>
      </c>
      <c r="B6" s="13" t="s">
        <v>897</v>
      </c>
      <c r="C6" s="13" t="s">
        <v>898</v>
      </c>
      <c r="D6" s="15" t="s">
        <v>313</v>
      </c>
    </row>
    <row r="7" spans="1:4" ht="15" customHeight="1">
      <c r="A7" s="16" t="s">
        <v>899</v>
      </c>
      <c r="B7" s="13" t="s">
        <v>900</v>
      </c>
      <c r="C7" s="13" t="s">
        <v>901</v>
      </c>
      <c r="D7" s="15" t="s">
        <v>104</v>
      </c>
    </row>
    <row r="8" spans="1:4" ht="15" customHeight="1">
      <c r="A8" s="16" t="s">
        <v>902</v>
      </c>
      <c r="B8" s="13" t="s">
        <v>903</v>
      </c>
      <c r="C8" s="13" t="s">
        <v>904</v>
      </c>
      <c r="D8" s="15" t="s">
        <v>175</v>
      </c>
    </row>
    <row r="9" spans="1:4" ht="15" customHeight="1">
      <c r="A9" s="16" t="s">
        <v>905</v>
      </c>
      <c r="B9" s="13" t="s">
        <v>844</v>
      </c>
      <c r="C9" s="15" t="s">
        <v>906</v>
      </c>
      <c r="D9" s="15" t="s">
        <v>907</v>
      </c>
    </row>
    <row r="10" spans="1:4" ht="15" customHeight="1">
      <c r="A10" s="16" t="s">
        <v>908</v>
      </c>
      <c r="B10" s="13" t="s">
        <v>909</v>
      </c>
      <c r="C10" s="13" t="s">
        <v>910</v>
      </c>
      <c r="D10" s="15" t="s">
        <v>911</v>
      </c>
    </row>
    <row r="11" spans="1:4" ht="15" customHeight="1">
      <c r="A11" s="16" t="s">
        <v>912</v>
      </c>
      <c r="B11" s="13" t="s">
        <v>913</v>
      </c>
      <c r="C11" s="13" t="s">
        <v>914</v>
      </c>
      <c r="D11" s="15" t="s">
        <v>114</v>
      </c>
    </row>
    <row r="12" spans="1:4" ht="15" customHeight="1">
      <c r="A12" s="16" t="s">
        <v>915</v>
      </c>
      <c r="B12" s="13" t="s">
        <v>916</v>
      </c>
      <c r="C12" s="15" t="s">
        <v>917</v>
      </c>
      <c r="D12" s="15" t="s">
        <v>124</v>
      </c>
    </row>
    <row r="13" spans="1:4" ht="15" customHeight="1">
      <c r="A13" s="16" t="s">
        <v>918</v>
      </c>
      <c r="B13" s="13" t="s">
        <v>919</v>
      </c>
      <c r="C13" s="15" t="s">
        <v>920</v>
      </c>
      <c r="D13" s="15" t="s">
        <v>776</v>
      </c>
    </row>
    <row r="15" spans="1:4" ht="18">
      <c r="A15" s="1" t="s">
        <v>921</v>
      </c>
    </row>
    <row r="16" spans="1:4">
      <c r="A16" s="6" t="s">
        <v>884</v>
      </c>
      <c r="B16" s="5" t="s">
        <v>885</v>
      </c>
      <c r="C16" s="5" t="s">
        <v>886</v>
      </c>
      <c r="D16" s="5" t="s">
        <v>887</v>
      </c>
    </row>
    <row r="17" spans="1:4">
      <c r="A17" s="16" t="s">
        <v>922</v>
      </c>
      <c r="B17" s="13" t="s">
        <v>923</v>
      </c>
      <c r="C17" s="15" t="s">
        <v>924</v>
      </c>
      <c r="D17" s="15" t="s">
        <v>114</v>
      </c>
    </row>
    <row r="18" spans="1:4">
      <c r="A18" s="16" t="s">
        <v>925</v>
      </c>
      <c r="B18" s="13" t="s">
        <v>926</v>
      </c>
      <c r="C18" s="15" t="s">
        <v>927</v>
      </c>
      <c r="D18" s="15" t="s">
        <v>928</v>
      </c>
    </row>
    <row r="19" spans="1:4">
      <c r="A19" s="16" t="s">
        <v>929</v>
      </c>
      <c r="B19" s="13" t="s">
        <v>930</v>
      </c>
      <c r="C19" s="15" t="s">
        <v>931</v>
      </c>
      <c r="D19" s="15" t="s">
        <v>342</v>
      </c>
    </row>
    <row r="20" spans="1:4" ht="25">
      <c r="A20" s="16" t="s">
        <v>932</v>
      </c>
      <c r="B20" s="13" t="s">
        <v>933</v>
      </c>
      <c r="C20" s="15" t="s">
        <v>934</v>
      </c>
      <c r="D20" s="15" t="s">
        <v>935</v>
      </c>
    </row>
    <row r="21" spans="1:4">
      <c r="A21" s="16" t="s">
        <v>936</v>
      </c>
      <c r="B21" s="13" t="s">
        <v>937</v>
      </c>
      <c r="C21" s="15" t="s">
        <v>938</v>
      </c>
      <c r="D21" s="15" t="s">
        <v>939</v>
      </c>
    </row>
    <row r="22" spans="1:4">
      <c r="A22" s="16" t="s">
        <v>940</v>
      </c>
      <c r="B22" s="13" t="s">
        <v>941</v>
      </c>
      <c r="C22" s="15" t="s">
        <v>942</v>
      </c>
      <c r="D22" s="15" t="s">
        <v>943</v>
      </c>
    </row>
    <row r="23" spans="1:4">
      <c r="A23" s="16" t="s">
        <v>944</v>
      </c>
      <c r="B23" s="13" t="s">
        <v>945</v>
      </c>
      <c r="C23" s="15" t="s">
        <v>946</v>
      </c>
      <c r="D23" s="15" t="s">
        <v>947</v>
      </c>
    </row>
    <row r="24" spans="1:4" ht="25">
      <c r="A24" s="16" t="s">
        <v>948</v>
      </c>
      <c r="B24" s="13" t="s">
        <v>949</v>
      </c>
      <c r="C24" s="15" t="s">
        <v>950</v>
      </c>
      <c r="D24" s="15" t="s">
        <v>951</v>
      </c>
    </row>
    <row r="25" spans="1:4">
      <c r="A25" s="16" t="s">
        <v>952</v>
      </c>
      <c r="B25" s="13" t="s">
        <v>164</v>
      </c>
      <c r="C25" s="15" t="s">
        <v>953</v>
      </c>
      <c r="D25" s="15" t="s">
        <v>163</v>
      </c>
    </row>
    <row r="26" spans="1:4">
      <c r="A26" s="16" t="s">
        <v>954</v>
      </c>
      <c r="B26" s="13" t="s">
        <v>955</v>
      </c>
      <c r="C26" s="15" t="s">
        <v>956</v>
      </c>
      <c r="D26" s="15" t="s">
        <v>957</v>
      </c>
    </row>
    <row r="27" spans="1:4" ht="25">
      <c r="A27" s="16" t="s">
        <v>958</v>
      </c>
      <c r="B27" s="13" t="s">
        <v>959</v>
      </c>
      <c r="C27" s="15" t="s">
        <v>960</v>
      </c>
      <c r="D27" s="15" t="s">
        <v>445</v>
      </c>
    </row>
    <row r="28" spans="1:4">
      <c r="A28" s="16" t="s">
        <v>961</v>
      </c>
      <c r="B28" s="13" t="s">
        <v>962</v>
      </c>
      <c r="C28" s="15" t="s">
        <v>963</v>
      </c>
      <c r="D28" s="15" t="s">
        <v>393</v>
      </c>
    </row>
    <row r="29" spans="1:4">
      <c r="A29" s="16" t="s">
        <v>964</v>
      </c>
      <c r="B29" s="13" t="s">
        <v>965</v>
      </c>
      <c r="C29" s="15" t="s">
        <v>966</v>
      </c>
      <c r="D29" s="15" t="s">
        <v>967</v>
      </c>
    </row>
    <row r="30" spans="1:4">
      <c r="A30" s="19" t="s">
        <v>968</v>
      </c>
      <c r="B30" t="s">
        <v>969</v>
      </c>
      <c r="C30" t="s">
        <v>970</v>
      </c>
      <c r="D30" t="s">
        <v>971</v>
      </c>
    </row>
    <row r="31" spans="1:4" ht="31.5" customHeight="1">
      <c r="A31" t="s">
        <v>972</v>
      </c>
      <c r="B31" t="s">
        <v>973</v>
      </c>
      <c r="C31" s="21" t="s">
        <v>974</v>
      </c>
      <c r="D31" t="s">
        <v>211</v>
      </c>
    </row>
    <row r="32" spans="1:4" ht="42" customHeight="1">
      <c r="A32" s="21" t="s">
        <v>975</v>
      </c>
      <c r="B32" s="21" t="s">
        <v>976</v>
      </c>
      <c r="C32" s="21" t="s">
        <v>977</v>
      </c>
      <c r="D32" s="21" t="s">
        <v>978</v>
      </c>
    </row>
    <row r="33" spans="1:4" ht="48" customHeight="1">
      <c r="A33" s="21" t="s">
        <v>979</v>
      </c>
      <c r="B33" s="21" t="s">
        <v>980</v>
      </c>
      <c r="C33" s="21" t="s">
        <v>981</v>
      </c>
      <c r="D33" s="21" t="s">
        <v>982</v>
      </c>
    </row>
    <row r="34" spans="1:4" ht="48" customHeight="1">
      <c r="A34" s="21" t="s">
        <v>983</v>
      </c>
      <c r="B34" s="21" t="s">
        <v>984</v>
      </c>
      <c r="C34" s="21" t="s">
        <v>985</v>
      </c>
      <c r="D34" s="21" t="s">
        <v>986</v>
      </c>
    </row>
    <row r="35" spans="1:4" ht="48" customHeight="1">
      <c r="A35" s="21" t="s">
        <v>987</v>
      </c>
      <c r="B35" s="21" t="s">
        <v>988</v>
      </c>
      <c r="C35" s="21" t="s">
        <v>989</v>
      </c>
      <c r="D35" s="21" t="s">
        <v>990</v>
      </c>
    </row>
    <row r="36" spans="1:4" ht="48" customHeight="1">
      <c r="A36" s="21" t="s">
        <v>991</v>
      </c>
      <c r="B36" s="21" t="s">
        <v>992</v>
      </c>
      <c r="C36" s="21" t="s">
        <v>993</v>
      </c>
      <c r="D36" s="21" t="s">
        <v>994</v>
      </c>
    </row>
  </sheetData>
  <phoneticPr fontId="1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9"/>
  <sheetViews>
    <sheetView workbookViewId="0"/>
  </sheetViews>
  <sheetFormatPr defaultColWidth="8.6328125" defaultRowHeight="14.5"/>
  <cols>
    <col min="1" max="1" width="13" customWidth="1"/>
    <col min="2" max="2" width="26" customWidth="1"/>
    <col min="3" max="3" width="30" customWidth="1"/>
    <col min="4" max="4" width="40" customWidth="1"/>
  </cols>
  <sheetData>
    <row r="1" spans="1:4" ht="21.65" customHeight="1">
      <c r="A1" s="1" t="s">
        <v>995</v>
      </c>
    </row>
    <row r="3" spans="1:4" ht="15" customHeight="1">
      <c r="A3" s="5" t="s">
        <v>996</v>
      </c>
      <c r="B3" s="5" t="s">
        <v>997</v>
      </c>
      <c r="C3" s="5" t="s">
        <v>998</v>
      </c>
      <c r="D3" s="5" t="s">
        <v>102</v>
      </c>
    </row>
    <row r="4" spans="1:4" ht="15" customHeight="1">
      <c r="A4" s="16" t="s">
        <v>112</v>
      </c>
      <c r="B4" s="13" t="s">
        <v>999</v>
      </c>
      <c r="C4" s="13" t="s">
        <v>1000</v>
      </c>
      <c r="D4" s="15"/>
    </row>
    <row r="5" spans="1:4" ht="15" customHeight="1">
      <c r="A5" s="16" t="s">
        <v>218</v>
      </c>
      <c r="B5" s="13" t="s">
        <v>1001</v>
      </c>
      <c r="C5" s="13" t="s">
        <v>1002</v>
      </c>
      <c r="D5" s="13" t="s">
        <v>1003</v>
      </c>
    </row>
    <row r="6" spans="1:4" ht="15" customHeight="1">
      <c r="A6" s="16" t="s">
        <v>377</v>
      </c>
      <c r="B6" s="13" t="s">
        <v>1004</v>
      </c>
      <c r="C6" s="13" t="s">
        <v>1005</v>
      </c>
      <c r="D6" s="15"/>
    </row>
    <row r="7" spans="1:4" ht="15" customHeight="1">
      <c r="A7" s="16" t="s">
        <v>173</v>
      </c>
      <c r="B7" s="13" t="s">
        <v>1006</v>
      </c>
      <c r="C7" s="13" t="s">
        <v>1007</v>
      </c>
      <c r="D7" s="15"/>
    </row>
    <row r="8" spans="1:4" ht="15" customHeight="1">
      <c r="A8" s="16" t="s">
        <v>281</v>
      </c>
      <c r="B8" s="15" t="s">
        <v>1008</v>
      </c>
      <c r="C8" s="13" t="s">
        <v>1009</v>
      </c>
      <c r="D8" s="15"/>
    </row>
    <row r="9" spans="1:4" ht="15" customHeight="1">
      <c r="A9" s="16" t="s">
        <v>290</v>
      </c>
      <c r="B9" s="15" t="s">
        <v>1010</v>
      </c>
      <c r="C9" s="13" t="s">
        <v>1011</v>
      </c>
      <c r="D9" s="15"/>
    </row>
    <row r="10" spans="1:4" ht="15" customHeight="1">
      <c r="A10" s="16" t="s">
        <v>298</v>
      </c>
      <c r="B10" s="13" t="s">
        <v>292</v>
      </c>
      <c r="C10" s="13" t="s">
        <v>1012</v>
      </c>
      <c r="D10" s="13" t="s">
        <v>1013</v>
      </c>
    </row>
    <row r="11" spans="1:4" ht="15" customHeight="1">
      <c r="A11" s="16" t="s">
        <v>327</v>
      </c>
      <c r="B11" s="13" t="s">
        <v>1014</v>
      </c>
      <c r="C11" s="13" t="s">
        <v>1015</v>
      </c>
      <c r="D11" s="15"/>
    </row>
    <row r="12" spans="1:4" ht="15" customHeight="1">
      <c r="A12" s="16" t="s">
        <v>367</v>
      </c>
      <c r="B12" s="13" t="s">
        <v>1016</v>
      </c>
      <c r="C12" s="13" t="s">
        <v>1017</v>
      </c>
      <c r="D12" s="15"/>
    </row>
    <row r="13" spans="1:4" ht="15" customHeight="1">
      <c r="A13" s="16" t="s">
        <v>349</v>
      </c>
      <c r="B13" s="13" t="s">
        <v>1018</v>
      </c>
      <c r="C13" s="15" t="s">
        <v>1019</v>
      </c>
      <c r="D13" s="15" t="s">
        <v>1020</v>
      </c>
    </row>
    <row r="14" spans="1:4" ht="15" customHeight="1">
      <c r="A14" s="16" t="s">
        <v>681</v>
      </c>
      <c r="B14" s="13" t="s">
        <v>1021</v>
      </c>
      <c r="C14" s="13" t="s">
        <v>1022</v>
      </c>
      <c r="D14" s="15"/>
    </row>
    <row r="15" spans="1:4" ht="15" customHeight="1">
      <c r="A15" s="16" t="s">
        <v>688</v>
      </c>
      <c r="B15" s="13" t="s">
        <v>1023</v>
      </c>
      <c r="C15" s="13" t="s">
        <v>1024</v>
      </c>
      <c r="D15" s="15"/>
    </row>
    <row r="16" spans="1:4" ht="15" customHeight="1">
      <c r="A16" s="16" t="s">
        <v>724</v>
      </c>
      <c r="B16" s="13" t="s">
        <v>718</v>
      </c>
      <c r="C16" s="13" t="s">
        <v>1025</v>
      </c>
      <c r="D16" s="15"/>
    </row>
    <row r="17" spans="1:4" ht="15" customHeight="1">
      <c r="A17" s="16" t="s">
        <v>427</v>
      </c>
      <c r="B17" s="13" t="s">
        <v>1026</v>
      </c>
      <c r="C17" s="15" t="s">
        <v>1027</v>
      </c>
      <c r="D17" s="15"/>
    </row>
    <row r="18" spans="1:4" ht="15" customHeight="1">
      <c r="A18" s="16" t="s">
        <v>444</v>
      </c>
      <c r="B18" s="13" t="s">
        <v>1028</v>
      </c>
      <c r="C18" s="15" t="s">
        <v>1029</v>
      </c>
      <c r="D18" s="15"/>
    </row>
    <row r="19" spans="1:4" ht="15" customHeight="1">
      <c r="A19" s="16" t="s">
        <v>460</v>
      </c>
      <c r="B19" s="13" t="s">
        <v>1030</v>
      </c>
      <c r="C19" s="15" t="s">
        <v>1031</v>
      </c>
      <c r="D19" s="15"/>
    </row>
    <row r="20" spans="1:4" ht="15" customHeight="1">
      <c r="A20" s="16" t="s">
        <v>502</v>
      </c>
      <c r="B20" s="13" t="s">
        <v>1032</v>
      </c>
      <c r="C20" s="15" t="s">
        <v>1033</v>
      </c>
      <c r="D20" s="15"/>
    </row>
    <row r="21" spans="1:4" ht="15" customHeight="1">
      <c r="A21" s="16" t="s">
        <v>523</v>
      </c>
      <c r="B21" s="13" t="s">
        <v>1034</v>
      </c>
      <c r="C21" s="15" t="s">
        <v>1035</v>
      </c>
      <c r="D21" s="15"/>
    </row>
    <row r="22" spans="1:4" ht="15" customHeight="1">
      <c r="A22" s="16" t="s">
        <v>573</v>
      </c>
      <c r="B22" s="13" t="s">
        <v>1036</v>
      </c>
      <c r="C22" s="15" t="s">
        <v>1037</v>
      </c>
      <c r="D22" s="13" t="s">
        <v>1038</v>
      </c>
    </row>
    <row r="23" spans="1:4" ht="15" customHeight="1">
      <c r="A23" s="16" t="s">
        <v>621</v>
      </c>
      <c r="B23" s="13" t="s">
        <v>615</v>
      </c>
      <c r="C23" s="15" t="s">
        <v>1039</v>
      </c>
      <c r="D23" s="15"/>
    </row>
    <row r="24" spans="1:4" ht="15" customHeight="1">
      <c r="A24" s="16" t="s">
        <v>637</v>
      </c>
      <c r="B24" s="13" t="s">
        <v>631</v>
      </c>
      <c r="C24" s="15" t="s">
        <v>1040</v>
      </c>
      <c r="D24" s="15"/>
    </row>
    <row r="25" spans="1:4" ht="15" customHeight="1">
      <c r="A25" s="16" t="s">
        <v>650</v>
      </c>
      <c r="B25" s="13" t="s">
        <v>1041</v>
      </c>
      <c r="C25" s="15" t="s">
        <v>1042</v>
      </c>
      <c r="D25" s="15"/>
    </row>
    <row r="26" spans="1:4" ht="15" customHeight="1">
      <c r="A26" s="16" t="s">
        <v>658</v>
      </c>
      <c r="B26" s="13" t="s">
        <v>1043</v>
      </c>
      <c r="C26" s="15" t="s">
        <v>1044</v>
      </c>
      <c r="D26" s="15"/>
    </row>
    <row r="27" spans="1:4" ht="15" customHeight="1">
      <c r="A27" s="16" t="s">
        <v>666</v>
      </c>
      <c r="B27" s="13" t="s">
        <v>1045</v>
      </c>
      <c r="C27" s="15" t="s">
        <v>1046</v>
      </c>
      <c r="D27" s="15"/>
    </row>
    <row r="28" spans="1:4" ht="15" customHeight="1">
      <c r="A28" s="16" t="s">
        <v>780</v>
      </c>
      <c r="B28" s="13" t="s">
        <v>1047</v>
      </c>
      <c r="C28" s="13" t="s">
        <v>1048</v>
      </c>
      <c r="D28" s="15"/>
    </row>
    <row r="29" spans="1:4" ht="15" customHeight="1">
      <c r="A29" s="16" t="s">
        <v>788</v>
      </c>
      <c r="B29" s="13" t="s">
        <v>1049</v>
      </c>
      <c r="C29" s="13" t="s">
        <v>1050</v>
      </c>
      <c r="D29" s="15"/>
    </row>
    <row r="30" spans="1:4" ht="15" customHeight="1">
      <c r="A30" s="16" t="s">
        <v>820</v>
      </c>
      <c r="B30" s="13" t="s">
        <v>814</v>
      </c>
      <c r="C30" s="13" t="s">
        <v>1051</v>
      </c>
      <c r="D30" s="15"/>
    </row>
    <row r="31" spans="1:4" ht="15" customHeight="1">
      <c r="A31" s="16" t="s">
        <v>828</v>
      </c>
      <c r="B31" s="13" t="s">
        <v>1052</v>
      </c>
      <c r="C31" s="13" t="s">
        <v>1053</v>
      </c>
      <c r="D31" s="15"/>
    </row>
    <row r="32" spans="1:4" ht="15" customHeight="1">
      <c r="A32" s="16" t="s">
        <v>763</v>
      </c>
      <c r="B32" s="13" t="s">
        <v>1054</v>
      </c>
      <c r="C32" s="13" t="s">
        <v>1055</v>
      </c>
      <c r="D32" s="15"/>
    </row>
    <row r="33" spans="1:4" ht="15" customHeight="1">
      <c r="A33" s="16" t="s">
        <v>746</v>
      </c>
      <c r="B33" s="13" t="s">
        <v>1056</v>
      </c>
      <c r="C33" s="13" t="s">
        <v>1057</v>
      </c>
      <c r="D33" s="15"/>
    </row>
    <row r="34" spans="1:4" ht="15" customHeight="1">
      <c r="A34" s="16" t="s">
        <v>850</v>
      </c>
      <c r="B34" s="13" t="s">
        <v>1058</v>
      </c>
      <c r="C34" s="15" t="s">
        <v>1019</v>
      </c>
      <c r="D34" s="15"/>
    </row>
    <row r="35" spans="1:4" ht="15" customHeight="1">
      <c r="A35" s="16" t="s">
        <v>835</v>
      </c>
      <c r="B35" s="13" t="s">
        <v>830</v>
      </c>
      <c r="C35" s="15" t="s">
        <v>1019</v>
      </c>
      <c r="D35" s="15"/>
    </row>
    <row r="36" spans="1:4" ht="15" customHeight="1">
      <c r="A36" s="16" t="s">
        <v>209</v>
      </c>
      <c r="B36" s="13" t="s">
        <v>1059</v>
      </c>
      <c r="C36" s="13" t="s">
        <v>1060</v>
      </c>
      <c r="D36" s="13" t="s">
        <v>1061</v>
      </c>
    </row>
    <row r="37" spans="1:4" ht="15" customHeight="1">
      <c r="A37" s="16" t="s">
        <v>1062</v>
      </c>
      <c r="B37" s="13" t="s">
        <v>1063</v>
      </c>
      <c r="C37" s="15" t="s">
        <v>1064</v>
      </c>
      <c r="D37" s="15"/>
    </row>
    <row r="38" spans="1:4" ht="15" customHeight="1">
      <c r="A38" s="16" t="s">
        <v>341</v>
      </c>
      <c r="B38" s="13" t="s">
        <v>336</v>
      </c>
      <c r="C38" s="13" t="s">
        <v>1065</v>
      </c>
      <c r="D38" s="15"/>
    </row>
    <row r="39" spans="1:4" ht="15" customHeight="1">
      <c r="A39" s="16" t="s">
        <v>876</v>
      </c>
      <c r="B39" s="13" t="s">
        <v>870</v>
      </c>
      <c r="C39" s="13" t="s">
        <v>1066</v>
      </c>
      <c r="D39" s="15"/>
    </row>
  </sheetData>
  <phoneticPr fontId="1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5"/>
  <sheetViews>
    <sheetView workbookViewId="0"/>
  </sheetViews>
  <sheetFormatPr defaultColWidth="8.6328125" defaultRowHeight="14.5"/>
  <cols>
    <col min="1" max="1" width="6" customWidth="1"/>
    <col min="2" max="2" width="110" customWidth="1"/>
  </cols>
  <sheetData>
    <row r="1" spans="1:2" ht="21.65" customHeight="1">
      <c r="A1" s="1" t="s">
        <v>1067</v>
      </c>
    </row>
    <row r="3" spans="1:2" ht="17.149999999999999" customHeight="1">
      <c r="A3" s="4" t="s">
        <v>1068</v>
      </c>
    </row>
    <row r="4" spans="1:2" ht="18" customHeight="1">
      <c r="A4" s="8">
        <v>1</v>
      </c>
      <c r="B4" s="13" t="s">
        <v>1069</v>
      </c>
    </row>
    <row r="5" spans="1:2" ht="18" customHeight="1">
      <c r="A5" s="8">
        <v>2</v>
      </c>
      <c r="B5" s="13" t="s">
        <v>1070</v>
      </c>
    </row>
    <row r="6" spans="1:2" ht="18" customHeight="1">
      <c r="A6" s="8">
        <v>3</v>
      </c>
      <c r="B6" s="13" t="s">
        <v>1071</v>
      </c>
    </row>
    <row r="7" spans="1:2" ht="18" customHeight="1">
      <c r="A7" s="8">
        <v>4</v>
      </c>
      <c r="B7" s="13" t="s">
        <v>1072</v>
      </c>
    </row>
    <row r="8" spans="1:2" ht="18" customHeight="1">
      <c r="A8" s="8">
        <v>5</v>
      </c>
      <c r="B8" s="15" t="s">
        <v>1073</v>
      </c>
    </row>
    <row r="9" spans="1:2" ht="18" customHeight="1">
      <c r="A9" s="8">
        <v>6</v>
      </c>
      <c r="B9" s="13" t="s">
        <v>1074</v>
      </c>
    </row>
    <row r="10" spans="1:2" ht="18" customHeight="1">
      <c r="A10" s="8">
        <v>7</v>
      </c>
      <c r="B10" s="15" t="s">
        <v>1075</v>
      </c>
    </row>
    <row r="11" spans="1:2" ht="18" customHeight="1">
      <c r="A11" s="8">
        <v>8</v>
      </c>
      <c r="B11" s="13" t="s">
        <v>1076</v>
      </c>
    </row>
    <row r="12" spans="1:2" ht="18" customHeight="1">
      <c r="A12" s="8">
        <v>9</v>
      </c>
      <c r="B12" s="13" t="s">
        <v>1077</v>
      </c>
    </row>
    <row r="13" spans="1:2" ht="18" customHeight="1">
      <c r="A13" s="8">
        <v>10</v>
      </c>
      <c r="B13" s="13" t="s">
        <v>1078</v>
      </c>
    </row>
    <row r="14" spans="1:2" ht="18" customHeight="1">
      <c r="A14" s="8">
        <v>11</v>
      </c>
      <c r="B14" s="13" t="s">
        <v>1079</v>
      </c>
    </row>
    <row r="15" spans="1:2" ht="18" customHeight="1">
      <c r="A15" s="8">
        <v>12</v>
      </c>
      <c r="B15" s="13" t="s">
        <v>1080</v>
      </c>
    </row>
    <row r="17" spans="1:2" ht="17.149999999999999" customHeight="1">
      <c r="A17" s="4" t="s">
        <v>1081</v>
      </c>
    </row>
    <row r="18" spans="1:2" ht="18" customHeight="1">
      <c r="A18" s="8">
        <v>1</v>
      </c>
      <c r="B18" s="13" t="s">
        <v>1082</v>
      </c>
    </row>
    <row r="19" spans="1:2" ht="18" customHeight="1">
      <c r="A19" s="8">
        <v>2</v>
      </c>
      <c r="B19" s="13" t="s">
        <v>1083</v>
      </c>
    </row>
    <row r="20" spans="1:2" ht="18" customHeight="1">
      <c r="A20" s="8">
        <v>3</v>
      </c>
      <c r="B20" s="13" t="s">
        <v>1084</v>
      </c>
    </row>
    <row r="21" spans="1:2" ht="18" customHeight="1">
      <c r="A21" s="8">
        <v>4</v>
      </c>
      <c r="B21" s="13" t="s">
        <v>1085</v>
      </c>
    </row>
    <row r="22" spans="1:2" ht="18" customHeight="1">
      <c r="A22" s="8">
        <v>5</v>
      </c>
      <c r="B22" s="13" t="s">
        <v>1086</v>
      </c>
    </row>
    <row r="23" spans="1:2" ht="18" customHeight="1">
      <c r="A23" s="8">
        <v>6</v>
      </c>
      <c r="B23" s="13" t="s">
        <v>1087</v>
      </c>
    </row>
    <row r="24" spans="1:2" ht="18" customHeight="1">
      <c r="A24" s="8">
        <v>7</v>
      </c>
      <c r="B24" s="13" t="s">
        <v>1088</v>
      </c>
    </row>
    <row r="25" spans="1:2" ht="18" customHeight="1">
      <c r="A25" s="8">
        <v>8</v>
      </c>
      <c r="B25" s="13" t="s">
        <v>1089</v>
      </c>
    </row>
    <row r="27" spans="1:2" ht="17.149999999999999" customHeight="1">
      <c r="A27" s="4" t="s">
        <v>1090</v>
      </c>
    </row>
    <row r="28" spans="1:2" ht="18" customHeight="1">
      <c r="A28" s="8">
        <v>1</v>
      </c>
      <c r="B28" s="13" t="s">
        <v>1091</v>
      </c>
    </row>
    <row r="29" spans="1:2" ht="18" customHeight="1">
      <c r="A29" s="8">
        <v>2</v>
      </c>
      <c r="B29" s="13" t="s">
        <v>1092</v>
      </c>
    </row>
    <row r="30" spans="1:2" ht="18" customHeight="1">
      <c r="A30" s="8">
        <v>3</v>
      </c>
      <c r="B30" s="13" t="s">
        <v>1093</v>
      </c>
    </row>
    <row r="31" spans="1:2" ht="18" customHeight="1">
      <c r="A31" s="8">
        <v>4</v>
      </c>
      <c r="B31" s="13" t="s">
        <v>1094</v>
      </c>
    </row>
    <row r="32" spans="1:2" ht="18" customHeight="1">
      <c r="A32" s="8">
        <v>5</v>
      </c>
      <c r="B32" s="13" t="s">
        <v>1095</v>
      </c>
    </row>
    <row r="33" spans="1:2" ht="18" customHeight="1">
      <c r="A33" s="8">
        <v>6</v>
      </c>
      <c r="B33" s="13" t="s">
        <v>1096</v>
      </c>
    </row>
    <row r="34" spans="1:2" ht="18" customHeight="1">
      <c r="A34" s="8">
        <v>7</v>
      </c>
      <c r="B34" s="13" t="s">
        <v>1097</v>
      </c>
    </row>
    <row r="35" spans="1:2" ht="18" customHeight="1">
      <c r="A35" s="8">
        <v>8</v>
      </c>
      <c r="B35" s="13" t="s">
        <v>1098</v>
      </c>
    </row>
  </sheetData>
  <phoneticPr fontId="1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3"/>
  <sheetViews>
    <sheetView workbookViewId="0"/>
  </sheetViews>
  <sheetFormatPr defaultColWidth="8.6328125" defaultRowHeight="14.5"/>
  <cols>
    <col min="1" max="1" width="13" customWidth="1"/>
    <col min="2" max="2" width="30" customWidth="1"/>
    <col min="3" max="3" width="90" customWidth="1"/>
    <col min="4" max="4" width="50" customWidth="1"/>
  </cols>
  <sheetData>
    <row r="1" spans="1:3" ht="17.399999999999999" customHeight="1">
      <c r="A1" s="1" t="s">
        <v>1099</v>
      </c>
    </row>
    <row r="3" spans="1:3" ht="15" customHeight="1">
      <c r="A3" s="6" t="s">
        <v>92</v>
      </c>
      <c r="B3" s="5" t="s">
        <v>1100</v>
      </c>
      <c r="C3" s="5" t="s">
        <v>1101</v>
      </c>
    </row>
    <row r="4" spans="1:3" ht="15" customHeight="1">
      <c r="A4" s="8">
        <v>1</v>
      </c>
      <c r="B4" s="17" t="s">
        <v>1102</v>
      </c>
      <c r="C4" s="13" t="s">
        <v>1103</v>
      </c>
    </row>
    <row r="5" spans="1:3" ht="29.9" customHeight="1">
      <c r="A5" s="8">
        <v>2</v>
      </c>
      <c r="B5" s="17" t="s">
        <v>1104</v>
      </c>
      <c r="C5" s="13" t="s">
        <v>1105</v>
      </c>
    </row>
    <row r="6" spans="1:3" ht="29.9" customHeight="1">
      <c r="A6" s="8">
        <v>3</v>
      </c>
      <c r="B6" s="17" t="s">
        <v>1106</v>
      </c>
      <c r="C6" s="13" t="s">
        <v>1107</v>
      </c>
    </row>
    <row r="7" spans="1:3" ht="15" customHeight="1">
      <c r="A7" s="8">
        <v>4</v>
      </c>
      <c r="B7" s="17" t="s">
        <v>1108</v>
      </c>
      <c r="C7" s="13" t="s">
        <v>1109</v>
      </c>
    </row>
    <row r="8" spans="1:3" ht="29.9" customHeight="1">
      <c r="A8" s="8">
        <v>5</v>
      </c>
      <c r="B8" s="17" t="s">
        <v>1110</v>
      </c>
      <c r="C8" s="13" t="s">
        <v>1111</v>
      </c>
    </row>
    <row r="9" spans="1:3" ht="29.9" customHeight="1">
      <c r="A9" s="8">
        <v>6</v>
      </c>
      <c r="B9" s="17" t="s">
        <v>1112</v>
      </c>
      <c r="C9" s="13" t="s">
        <v>1113</v>
      </c>
    </row>
    <row r="10" spans="1:3" ht="15" customHeight="1">
      <c r="A10" s="8">
        <v>7</v>
      </c>
      <c r="B10" s="17" t="s">
        <v>1114</v>
      </c>
      <c r="C10" s="13" t="s">
        <v>1115</v>
      </c>
    </row>
    <row r="11" spans="1:3" ht="29.9" customHeight="1">
      <c r="A11" s="8">
        <v>8</v>
      </c>
      <c r="B11" s="17" t="s">
        <v>1116</v>
      </c>
      <c r="C11" s="13" t="s">
        <v>1117</v>
      </c>
    </row>
    <row r="12" spans="1:3" ht="29.9" customHeight="1">
      <c r="A12" s="8">
        <v>9</v>
      </c>
      <c r="B12" s="17" t="s">
        <v>1118</v>
      </c>
      <c r="C12" s="13" t="s">
        <v>1119</v>
      </c>
    </row>
    <row r="13" spans="1:3" ht="15" customHeight="1">
      <c r="A13" s="8">
        <v>10</v>
      </c>
      <c r="B13" s="17" t="s">
        <v>1120</v>
      </c>
      <c r="C13" s="13" t="s">
        <v>1121</v>
      </c>
    </row>
    <row r="14" spans="1:3" ht="15" customHeight="1">
      <c r="A14" s="8">
        <v>11</v>
      </c>
      <c r="B14" s="17" t="s">
        <v>1122</v>
      </c>
      <c r="C14" s="15" t="s">
        <v>1123</v>
      </c>
    </row>
    <row r="16" spans="1:3" ht="21.65" customHeight="1">
      <c r="A16" s="18" t="s">
        <v>1124</v>
      </c>
    </row>
    <row r="17" spans="1:4" ht="15" customHeight="1">
      <c r="A17" s="6" t="s">
        <v>92</v>
      </c>
      <c r="B17" s="5" t="s">
        <v>1125</v>
      </c>
      <c r="C17" s="5" t="s">
        <v>1126</v>
      </c>
      <c r="D17" s="5" t="s">
        <v>1127</v>
      </c>
    </row>
    <row r="18" spans="1:4" ht="29.9" customHeight="1">
      <c r="A18" s="8">
        <v>1</v>
      </c>
      <c r="B18" s="17" t="s">
        <v>1128</v>
      </c>
      <c r="C18" s="13" t="s">
        <v>1129</v>
      </c>
      <c r="D18" s="13" t="s">
        <v>1130</v>
      </c>
    </row>
    <row r="19" spans="1:4" ht="15" customHeight="1">
      <c r="A19" s="8">
        <v>2</v>
      </c>
      <c r="B19" s="17" t="s">
        <v>1131</v>
      </c>
      <c r="C19" s="13" t="s">
        <v>1132</v>
      </c>
      <c r="D19" s="15" t="s">
        <v>1133</v>
      </c>
    </row>
    <row r="20" spans="1:4" ht="15" customHeight="1">
      <c r="A20" s="8">
        <v>3</v>
      </c>
      <c r="B20" s="17" t="s">
        <v>1134</v>
      </c>
      <c r="C20" s="15" t="s">
        <v>1135</v>
      </c>
      <c r="D20" s="15" t="s">
        <v>1136</v>
      </c>
    </row>
    <row r="21" spans="1:4" ht="15" customHeight="1">
      <c r="A21" s="8">
        <v>4</v>
      </c>
      <c r="B21" s="17" t="s">
        <v>511</v>
      </c>
      <c r="C21" s="15" t="s">
        <v>1137</v>
      </c>
      <c r="D21" s="15" t="s">
        <v>1138</v>
      </c>
    </row>
    <row r="22" spans="1:4" ht="15" customHeight="1">
      <c r="A22" s="8">
        <v>5</v>
      </c>
      <c r="B22" s="17" t="s">
        <v>1139</v>
      </c>
      <c r="C22" s="15" t="s">
        <v>1140</v>
      </c>
      <c r="D22" s="15" t="s">
        <v>1141</v>
      </c>
    </row>
    <row r="23" spans="1:4" ht="15" customHeight="1">
      <c r="A23" s="8">
        <v>6</v>
      </c>
      <c r="B23" s="17" t="s">
        <v>1142</v>
      </c>
      <c r="C23" s="15" t="s">
        <v>1143</v>
      </c>
      <c r="D23" s="13" t="s">
        <v>1144</v>
      </c>
    </row>
    <row r="24" spans="1:4" ht="15" customHeight="1">
      <c r="A24" s="8">
        <v>7</v>
      </c>
      <c r="B24" s="17" t="s">
        <v>1145</v>
      </c>
      <c r="C24" s="15" t="s">
        <v>1146</v>
      </c>
      <c r="D24" s="15" t="s">
        <v>1147</v>
      </c>
    </row>
    <row r="25" spans="1:4" ht="15" customHeight="1">
      <c r="A25" s="8">
        <v>8</v>
      </c>
      <c r="B25" s="17" t="s">
        <v>1148</v>
      </c>
      <c r="C25" s="15" t="s">
        <v>1149</v>
      </c>
      <c r="D25" s="13" t="s">
        <v>1150</v>
      </c>
    </row>
    <row r="26" spans="1:4" ht="15" customHeight="1">
      <c r="A26" s="8">
        <v>9</v>
      </c>
      <c r="B26" s="17" t="s">
        <v>1151</v>
      </c>
      <c r="C26" s="15" t="s">
        <v>1152</v>
      </c>
      <c r="D26" s="15" t="s">
        <v>1153</v>
      </c>
    </row>
    <row r="27" spans="1:4" ht="15" customHeight="1">
      <c r="A27" s="8">
        <v>10</v>
      </c>
      <c r="B27" s="17" t="s">
        <v>1154</v>
      </c>
      <c r="C27" s="15" t="s">
        <v>1155</v>
      </c>
      <c r="D27" s="15" t="s">
        <v>1156</v>
      </c>
    </row>
    <row r="28" spans="1:4" ht="15" customHeight="1">
      <c r="A28" s="8">
        <v>11</v>
      </c>
      <c r="B28" s="17" t="s">
        <v>1157</v>
      </c>
      <c r="C28" s="15" t="s">
        <v>1158</v>
      </c>
      <c r="D28" s="15" t="s">
        <v>1159</v>
      </c>
    </row>
    <row r="29" spans="1:4" ht="15" customHeight="1">
      <c r="A29" s="8">
        <v>12</v>
      </c>
      <c r="B29" s="17" t="s">
        <v>1160</v>
      </c>
      <c r="C29" s="13" t="s">
        <v>1161</v>
      </c>
      <c r="D29" s="13" t="s">
        <v>1162</v>
      </c>
    </row>
    <row r="30" spans="1:4" ht="15" customHeight="1">
      <c r="A30" s="8">
        <v>13</v>
      </c>
      <c r="B30" s="17" t="s">
        <v>1163</v>
      </c>
      <c r="C30" s="13" t="s">
        <v>1164</v>
      </c>
      <c r="D30" s="13" t="s">
        <v>1165</v>
      </c>
    </row>
    <row r="31" spans="1:4" ht="15" customHeight="1">
      <c r="A31" s="8">
        <v>14</v>
      </c>
      <c r="B31" s="17" t="s">
        <v>1166</v>
      </c>
      <c r="C31" s="13" t="s">
        <v>1167</v>
      </c>
      <c r="D31" s="15" t="s">
        <v>1168</v>
      </c>
    </row>
    <row r="32" spans="1:4" ht="15" customHeight="1">
      <c r="A32" s="8">
        <v>15</v>
      </c>
      <c r="B32" s="17" t="s">
        <v>1169</v>
      </c>
      <c r="C32" s="13" t="s">
        <v>1170</v>
      </c>
      <c r="D32" s="15" t="s">
        <v>1171</v>
      </c>
    </row>
    <row r="33" spans="2:4" ht="30" customHeight="1">
      <c r="B33" s="34" t="s">
        <v>1172</v>
      </c>
      <c r="C33" s="25"/>
      <c r="D33" s="25"/>
    </row>
  </sheetData>
  <mergeCells count="1">
    <mergeCell ref="B33:D33"/>
  </mergeCells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"/>
  <sheetViews>
    <sheetView workbookViewId="0"/>
  </sheetViews>
  <sheetFormatPr defaultColWidth="8.6328125" defaultRowHeight="14.5"/>
  <cols>
    <col min="1" max="1" width="13" customWidth="1"/>
    <col min="2" max="2" width="70" customWidth="1"/>
    <col min="3" max="3" width="20" customWidth="1"/>
    <col min="4" max="4" width="13" customWidth="1"/>
    <col min="5" max="6" width="30" customWidth="1"/>
  </cols>
  <sheetData>
    <row r="1" spans="1:6" ht="17.399999999999999" customHeight="1">
      <c r="A1" s="1" t="s">
        <v>1173</v>
      </c>
    </row>
    <row r="3" spans="1:6" ht="15" customHeight="1">
      <c r="A3" s="6" t="s">
        <v>92</v>
      </c>
      <c r="B3" s="5" t="s">
        <v>1174</v>
      </c>
      <c r="C3" s="5" t="s">
        <v>1175</v>
      </c>
      <c r="D3" s="5" t="s">
        <v>1176</v>
      </c>
      <c r="E3" s="5" t="s">
        <v>1177</v>
      </c>
      <c r="F3" s="5" t="s">
        <v>1178</v>
      </c>
    </row>
    <row r="4" spans="1:6" ht="15" customHeight="1">
      <c r="A4" s="8">
        <v>1</v>
      </c>
      <c r="B4" s="13" t="s">
        <v>1179</v>
      </c>
      <c r="C4" s="15" t="s">
        <v>891</v>
      </c>
      <c r="D4" s="13" t="s">
        <v>1180</v>
      </c>
      <c r="E4" s="15" t="s">
        <v>1181</v>
      </c>
      <c r="F4" s="15"/>
    </row>
    <row r="5" spans="1:6" ht="15" customHeight="1">
      <c r="A5" s="8">
        <v>2</v>
      </c>
      <c r="B5" s="13" t="s">
        <v>1182</v>
      </c>
      <c r="C5" s="15" t="s">
        <v>1183</v>
      </c>
      <c r="D5" s="13" t="s">
        <v>1180</v>
      </c>
      <c r="E5" s="15" t="s">
        <v>1181</v>
      </c>
      <c r="F5" s="15" t="s">
        <v>1184</v>
      </c>
    </row>
    <row r="6" spans="1:6" ht="15" customHeight="1">
      <c r="A6" s="8">
        <v>3</v>
      </c>
      <c r="B6" s="13" t="s">
        <v>1185</v>
      </c>
      <c r="C6" s="15" t="s">
        <v>1186</v>
      </c>
      <c r="D6" s="13" t="s">
        <v>1187</v>
      </c>
      <c r="E6" s="13" t="s">
        <v>1188</v>
      </c>
      <c r="F6" s="15"/>
    </row>
    <row r="7" spans="1:6" ht="15" customHeight="1">
      <c r="A7" s="8">
        <v>4</v>
      </c>
      <c r="B7" s="13" t="s">
        <v>1189</v>
      </c>
      <c r="C7" s="15" t="s">
        <v>1190</v>
      </c>
      <c r="D7" s="13" t="s">
        <v>1187</v>
      </c>
      <c r="E7" s="13" t="s">
        <v>1191</v>
      </c>
      <c r="F7" s="15" t="s">
        <v>1192</v>
      </c>
    </row>
    <row r="8" spans="1:6" ht="54" customHeight="1">
      <c r="A8" s="8">
        <v>5</v>
      </c>
      <c r="B8" s="13" t="s">
        <v>1193</v>
      </c>
      <c r="C8" s="15" t="s">
        <v>274</v>
      </c>
      <c r="D8" s="13" t="s">
        <v>1194</v>
      </c>
      <c r="E8" s="13" t="s">
        <v>1195</v>
      </c>
      <c r="F8" s="20" t="s">
        <v>1196</v>
      </c>
    </row>
    <row r="9" spans="1:6" ht="15" customHeight="1">
      <c r="A9" s="8">
        <v>6</v>
      </c>
      <c r="B9" s="13" t="s">
        <v>1197</v>
      </c>
      <c r="C9" s="15" t="s">
        <v>957</v>
      </c>
      <c r="D9" s="13" t="s">
        <v>1198</v>
      </c>
      <c r="E9" s="13" t="s">
        <v>1199</v>
      </c>
      <c r="F9" s="15" t="s">
        <v>1200</v>
      </c>
    </row>
    <row r="10" spans="1:6" ht="15" customHeight="1">
      <c r="A10" s="8">
        <v>7</v>
      </c>
      <c r="B10" s="13" t="s">
        <v>1201</v>
      </c>
      <c r="C10" s="15" t="s">
        <v>1202</v>
      </c>
      <c r="D10" s="13" t="s">
        <v>1203</v>
      </c>
      <c r="E10" s="13" t="s">
        <v>1204</v>
      </c>
      <c r="F10" s="15" t="s">
        <v>1205</v>
      </c>
    </row>
    <row r="11" spans="1:6" ht="15" customHeight="1">
      <c r="A11" s="8">
        <v>8</v>
      </c>
      <c r="B11" s="13" t="s">
        <v>1206</v>
      </c>
      <c r="C11" s="15" t="s">
        <v>1207</v>
      </c>
      <c r="D11" s="13" t="s">
        <v>1194</v>
      </c>
      <c r="E11" s="15" t="s">
        <v>1208</v>
      </c>
      <c r="F11" s="15"/>
    </row>
    <row r="13" spans="1:6" ht="15" customHeight="1">
      <c r="B13" s="11" t="s">
        <v>1209</v>
      </c>
    </row>
  </sheetData>
  <phoneticPr fontId="1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개요</vt:lpstr>
      <vt:lpstr>기능명세</vt:lpstr>
      <vt:lpstr>결정 사항</vt:lpstr>
      <vt:lpstr>화면 목록</vt:lpstr>
      <vt:lpstr>MVP 컷라인</vt:lpstr>
      <vt:lpstr>비즈니스 규칙·계산식</vt:lpstr>
      <vt:lpstr>확인 필요 사항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송준수</cp:lastModifiedBy>
  <dcterms:modified xsi:type="dcterms:W3CDTF">2026-09-07T16:42:33Z</dcterms:modified>
</cp:coreProperties>
</file>